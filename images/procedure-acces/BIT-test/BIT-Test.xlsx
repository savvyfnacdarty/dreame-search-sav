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groupefnac-my.sharepoint.com/personal/jerome_leconte_fnacdarty_com/Documents/Documents/Claude/Projects/Recherche Sharepoint/hub_dreame_mova/images/BIT-test/"/>
    </mc:Choice>
  </mc:AlternateContent>
  <xr:revisionPtr revIDLastSave="259" documentId="11_AD4D9D64A577C15A4A54181B381C6B805BDEDD8C" xr6:coauthVersionLast="47" xr6:coauthVersionMax="47" xr10:uidLastSave="{E9B9EDD6-6B11-45AA-9F59-3C2834E1B6F9}"/>
  <bookViews>
    <workbookView xWindow="-108" yWindow="-108" windowWidth="41496" windowHeight="16776" xr2:uid="{00000000-000D-0000-FFFF-FFFF00000000}"/>
  </bookViews>
  <sheets>
    <sheet name="Bit_Test_Single" sheetId="1" r:id="rId1"/>
    <sheet name="Feuil1" sheetId="2" r:id="rId2"/>
  </sheets>
  <definedNames>
    <definedName name="query__4" localSheetId="1" hidden="1">Feuil1!$A$1:$E$23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B7" i="1"/>
  <c r="B8" i="1"/>
  <c r="B6" i="1"/>
  <c r="B10" i="1"/>
  <c r="B11" i="1"/>
  <c r="B12" i="1"/>
  <c r="B13" i="1"/>
  <c r="B15" i="1"/>
  <c r="B16" i="1"/>
  <c r="B18" i="1"/>
  <c r="B2"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14D57D-DD73-4FA6-99DE-1F465DBA898F}" odcFile="C:\Users\jerom\Downloads\query (4).iqy" keepAlive="1" name="query (4)" type="5" refreshedVersion="8" minRefreshableVersion="3" saveData="1">
    <dbPr connection="Provider=Microsoft.Office.List.OLEDB.2.0;Data Source=&quot;&quot;;ApplicationName=Excel;Version=12.0.0.0" command="&lt;LIST&gt;&lt;VIEWGUID&gt;4B095B6C-E238-4145-AEAC-58FC81495ECD&lt;/VIEWGUID&gt;&lt;LISTNAME&gt;7043100c-5b9c-457f-ab38-a4bb8df4a390&lt;/LISTNAME&gt;&lt;LISTWEB&gt;https://groupefnac.sharepoint.com/sites/SAVVY_FNACDARTY/_vti_bin&lt;/LISTWEB&gt;&lt;LISTSUBWEB&gt;&lt;/LISTSUBWEB&gt;&lt;ROOTFOLDER&gt;/sites/SAVVY%5fFNACDARTY/Documents%20partages/DREAME%5fReferent/DREAME/Hub%5freferents%5fDreame/BIT%5fTest%5fSingle&lt;/ROOTFOLDER&gt;&lt;/LIST&gt;" commandType="5"/>
  </connection>
</connections>
</file>

<file path=xl/sharedStrings.xml><?xml version="1.0" encoding="utf-8"?>
<sst xmlns="http://schemas.openxmlformats.org/spreadsheetml/2006/main" count="179" uniqueCount="102">
  <si>
    <t>Crash test</t>
  </si>
  <si>
    <t>Down sensor test</t>
  </si>
  <si>
    <t>Forward Vision sensor test</t>
  </si>
  <si>
    <t>PSD test</t>
  </si>
  <si>
    <t>TOF test</t>
  </si>
  <si>
    <t>LDS test</t>
  </si>
  <si>
    <t>Gyroscope test</t>
  </si>
  <si>
    <t>Geomagnatic test</t>
  </si>
  <si>
    <t>Dust box test</t>
  </si>
  <si>
    <t>Tank test</t>
  </si>
  <si>
    <t>Fan test</t>
  </si>
  <si>
    <t>Side brush test</t>
  </si>
  <si>
    <t>roller test</t>
  </si>
  <si>
    <t>wipe lifting detection</t>
  </si>
  <si>
    <t>Wipe outside detection</t>
  </si>
  <si>
    <t>Rag installation inspection</t>
  </si>
  <si>
    <t>BIT Test Single</t>
  </si>
  <si>
    <t>Capture ecran 1</t>
  </si>
  <si>
    <t>Capture ecran 2</t>
  </si>
  <si>
    <t>Test effectué</t>
  </si>
  <si>
    <t>informations dictées</t>
  </si>
  <si>
    <t>Vidéo</t>
  </si>
  <si>
    <t>Test des capteurs de parre choc droite et gauche</t>
  </si>
  <si>
    <t>Lors des tests, veuillez soulever le robot du sol.</t>
  </si>
  <si>
    <t>Down sensor test.PNG</t>
  </si>
  <si>
    <t>Faire un appuie sur le parre choc gauche.
Faire un appuie sur le parre choc droite.
Test réussi. 
Test terminé.</t>
  </si>
  <si>
    <t>Crash Test.PNG</t>
  </si>
  <si>
    <t>Forward Vision sensor test_test passed.PNG</t>
  </si>
  <si>
    <t>Test du module vision</t>
  </si>
  <si>
    <t>Forward Vision sensor test Test checking….</t>
  </si>
  <si>
    <t>Test laser lateral</t>
  </si>
  <si>
    <t>PSD test checking… "Power Spectral Density"
Veuillez protéger le capteur de bord.
Test Réussi
Test terminé</t>
  </si>
  <si>
    <t>TOF Test checking.PNG</t>
  </si>
  <si>
    <t>TOF Test checking passed.PNG</t>
  </si>
  <si>
    <t>Test switch LDS</t>
  </si>
  <si>
    <t>Time Of Flight
TOF test checking
Test Réussi
Test terminé</t>
  </si>
  <si>
    <t>drive wheel test</t>
  </si>
  <si>
    <t>drive wheel test checking</t>
  </si>
  <si>
    <t>Gyroscope test checking</t>
  </si>
  <si>
    <t>drive wheel test checking passed.PNG</t>
  </si>
  <si>
    <t>drive wheel test checking.PNG</t>
  </si>
  <si>
    <t>Gyroscope test checking passed.PNG</t>
  </si>
  <si>
    <t>Test gyroscope, rotation anti horaire puis horaire</t>
  </si>
  <si>
    <t>Test capteur bac à poussire</t>
  </si>
  <si>
    <t>Dust box test.MOV enlever le bac.PNG</t>
  </si>
  <si>
    <t>Lors du test, veuillez retirer le boitier à poussière
Test réussi
Test terminé</t>
  </si>
  <si>
    <t>Test réservoir d'eau</t>
  </si>
  <si>
    <t>Laser Distance Sensor
Appuyer sur le capteur LDS gauche
Appuyer sur le capteur LDS droit
Test Réussi
Test terminé</t>
  </si>
  <si>
    <t>Test des roues, le robot avance puis recule en ligne droite</t>
  </si>
  <si>
    <t>Test Geomagnetic
Lors du test, veuillez utiliser la bande magnétique pour balayer le dessous du robot de gauche à droite.
Test Réussi
Test terminé</t>
  </si>
  <si>
    <t>Dans l’interface de test BIT, cliquez sur« Test TOF ». Après l’annonce vocale du robot, masquez la fenêtre du capteur TOF située à l’avant du robot, puis retirez l’obstacle. Une fois l’opération terminée, le résultat du test est annoncé vocalement.
Remarque : certains modèles ne sont pas équipés d’un capteur TOF. Dans ce cas, ce test n’est pas nécessaire. Veillez à vérifier si le modèle concerné dispose de cette fonction.</t>
  </si>
  <si>
    <t>Placez le robot au sol, avec sa face inférieure orientée vers le bas.
Après l’annonce vocale du robot, la brosse principale effectue des rotations en marche avant puis en marche arrière à différentes vitesses. Une fois le test terminé, la brosse principale s’arrête et le résultat du test est annoncé vocalement.</t>
  </si>
  <si>
    <t>Test brosse principale</t>
  </si>
  <si>
    <t>Test de sortie de la serpillière à l’extérieur</t>
  </si>
  <si>
    <t xml:space="preserve">
Test réussi
Test terminé</t>
  </si>
  <si>
    <t>Avant de lancer le test enlever les plaques serpillère, lancer le test et les installer</t>
  </si>
  <si>
    <t>Lors du test, veuillez installer les mops de nettoyage
Test réussi
Test terminé</t>
  </si>
  <si>
    <t>Vérification de l'installation des serpillères</t>
  </si>
  <si>
    <t>Test réussi
Test terminé</t>
  </si>
  <si>
    <t>tank test.PNG</t>
  </si>
  <si>
    <t>fan test.png</t>
  </si>
  <si>
    <t>https://vimeo.com/1204306133?share=copy&amp;fl=sv&amp;fe=ci</t>
  </si>
  <si>
    <t>https://vimeo.com/1204306060?share=copy&amp;fl=sv&amp;fe=ci</t>
  </si>
  <si>
    <t>https://vimeo.com/1204306102?share=copy&amp;fl=sv&amp;fe=ci</t>
  </si>
  <si>
    <t>https://vimeo.com/1204306126?share=copy&amp;fl=sv&amp;fe=ci</t>
  </si>
  <si>
    <t>https://vimeo.com/1204306061?share=copy&amp;fl=sv&amp;fe=ci</t>
  </si>
  <si>
    <t>https://vimeo.com/1204306062?share=copy&amp;fl=sv&amp;fe=ci</t>
  </si>
  <si>
    <t>https://vimeo.com/1204306127?share=copy&amp;fl=sv&amp;fe=ci</t>
  </si>
  <si>
    <t>Nom</t>
  </si>
  <si>
    <t>Modifié</t>
  </si>
  <si>
    <t>Modifié par</t>
  </si>
  <si>
    <t>Type d'élément</t>
  </si>
  <si>
    <t>Chemin d'accès</t>
  </si>
  <si>
    <t>BIT_Test.pptx</t>
  </si>
  <si>
    <t>LECONTE Jerome</t>
  </si>
  <si>
    <t>Élément </t>
  </si>
  <si>
    <t>sites/SAVVY_FNACDARTY/Documents partages/DREAME_Referent/DREAME/Hub_referents_Dreame/BIT_Test_Single</t>
  </si>
  <si>
    <t>Forward Vision sensor test.PNG</t>
  </si>
  <si>
    <t>Geomagnatic test confirm.png</t>
  </si>
  <si>
    <t>Gyroscope test checking.PNG</t>
  </si>
  <si>
    <t>IMG_7345.PNG</t>
  </si>
  <si>
    <t>IMG_7346.PNG</t>
  </si>
  <si>
    <t>IMG_7349.PNG</t>
  </si>
  <si>
    <t>IMG_7350.PNG</t>
  </si>
  <si>
    <t>IMG_7352.PNG</t>
  </si>
  <si>
    <t>Menu Bit test.PNG</t>
  </si>
  <si>
    <t>Menu BIT-Test.PNG</t>
  </si>
  <si>
    <t>Placez le robot au sol, face inférieure orientée vers le bas.
Après l’annonce vocale du robot, la brosse latérale effectue des rotations en marche avant puis en marche arrière à différentes vitesses. Une fois le test terminé, la brosse latérale s’arrête et le résultat du test est annoncé vocalement.</t>
  </si>
  <si>
    <t>Lancez le test géomagnétique depuis l’interface BIT. Après l’annonce vocale du robot, celui-ci effectue un autocontrôle du capteur géomagnétique. À l’issue du test, le résultat est communiqué par message vocal.</t>
  </si>
  <si>
    <r>
      <t xml:space="preserve">Retirez le réservoir d’eau, puis remettez-le en place.
</t>
    </r>
    <r>
      <rPr>
        <sz val="11"/>
        <color rgb="FFFF0000"/>
        <rFont val="Calibri"/>
        <family val="2"/>
        <scheme val="minor"/>
      </rPr>
      <t>Remarque : l’emplacement et la conception des réservoirs d’eau varient selon les modèles. Certains appareils sont équipés d’un réservoir intégré non amovible ; dans ce cas, il n’est pas nécessaire d’effectuer le test du réservoir d’eau. Veillez à identifier correctement le type de réservoir dont est équipé le modèle concerné.</t>
    </r>
  </si>
  <si>
    <t>Test capteurs de chute</t>
  </si>
  <si>
    <t>tank test 2.PNG</t>
  </si>
  <si>
    <t>side brush test.png</t>
  </si>
  <si>
    <t>Accès au mode BIT Test Dreame/Mova</t>
  </si>
  <si>
    <r>
      <t xml:space="preserve">Le mode </t>
    </r>
    <r>
      <rPr>
        <b/>
        <sz val="8"/>
        <color theme="1"/>
        <rFont val="Segoe UI"/>
        <family val="2"/>
      </rPr>
      <t>BIT Test (Built-In Test)</t>
    </r>
    <r>
      <rPr>
        <sz val="8"/>
        <color theme="1"/>
        <rFont val="Segoe UI"/>
        <family val="2"/>
      </rPr>
      <t xml:space="preserve"> permet de vérifier individuellement les principaux composants du robot Dreame et MOVA afin de confirmer un diagnostic ou valider une réparation après intervention.</t>
    </r>
  </si>
  <si>
    <r>
      <t xml:space="preserve">Prérequis
Avant d'accéder au mode BIT, les conditions suivantes doivent être réunies :
L'application Dreamehome ou MovaHome doit être installée sur un smartphone connecté au robot.
Le compte utilisé doit disposer des droits Whitelist de calibrage.
Pour faire une demande d'accès au mode maintenance faite une demande en cliquant ici "https://fnacdarty.mayday.fr/desk/parametric/default/contents/69d7596991a65edbd2007f35"
</t>
    </r>
    <r>
      <rPr>
        <b/>
        <sz val="11"/>
        <color rgb="FFFF0000"/>
        <rFont val="Calibri"/>
        <family val="2"/>
        <scheme val="minor"/>
      </rPr>
      <t>Le robot doit être mis à jour avec la dernière version du firmware disponible.</t>
    </r>
  </si>
  <si>
    <r>
      <t xml:space="preserve">Test capteur de vide / chute
</t>
    </r>
    <r>
      <rPr>
        <b/>
        <u/>
        <sz val="11"/>
        <color rgb="FFFF0000"/>
        <rFont val="Calibri"/>
        <family val="2"/>
        <scheme val="minor"/>
      </rPr>
      <t>Remarque :</t>
    </r>
    <r>
      <rPr>
        <b/>
        <sz val="11"/>
        <color rgb="FFFF0000"/>
        <rFont val="Calibri"/>
        <family val="2"/>
        <scheme val="minor"/>
      </rPr>
      <t xml:space="preserve"> Attention de bien prendre le robot sur l'avant et l'arrière, les capteurs de chute se trouvent sur les cotés droites et gauche</t>
    </r>
  </si>
  <si>
    <r>
      <t xml:space="preserve">Procédure d'accès depuis l'application
Ouvrir l'application MovaHome ou Dreamehome et se connecter au robot.
Appuyer sur les trois points situés en haut à droite de l'écran pour accéder aux paramètres.
Ouvrir le menu Cleaning History (Historique de nettoyage).
Cliquer 10 fois rapidement sur la zone affichant les statistiques du robot (Total Time / Total Area / Total Times).
L'écran Network Info apparaît.
Sélectionner BIT Check.
L'écran BIT s'ouvre et donne accès à l'ensemble des tests unitaires disponibles.
Mode BIT séquentiel </t>
    </r>
    <r>
      <rPr>
        <b/>
        <sz val="11"/>
        <color rgb="FFFF0000"/>
        <rFont val="Calibri"/>
        <family val="2"/>
        <scheme val="minor"/>
      </rPr>
      <t>(sans application)</t>
    </r>
    <r>
      <rPr>
        <b/>
        <sz val="11"/>
        <color theme="1"/>
        <rFont val="Calibri"/>
        <family val="2"/>
        <scheme val="minor"/>
      </rPr>
      <t xml:space="preserve">
Il est également possible d'exécuter un contrôle complet directement depuis le robot :
Allumer le robot.
Dans les 3 minutes suivant la mise sous tension, maintenir le bouton Recharge enfoncé.
Appuyer 5 fois sur le bouton Power.
Le robot entre alors dans le mode BIT séquentiel, qui exécute automatiquement une série de tests sur les différents composants.</t>
    </r>
  </si>
  <si>
    <t>https://vimeo.com/1204328154?share=copy&amp;fl=sv&amp;fe=ci</t>
  </si>
  <si>
    <t>https://vimeo.com/1204328155?share=copy&amp;fl=sv&amp;fe=ci</t>
  </si>
  <si>
    <t>https://vimeo.com/1204328156?share=copy&amp;fl=sv&amp;fe=ci</t>
  </si>
  <si>
    <t>https://vimeo.com/1204328262?share=copy&amp;fl=sv&amp;fe=ci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</si>
</sst>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u/>
      <sz val="11"/>
      <color theme="10"/>
      <name val="Calibri"/>
      <family val="2"/>
      <scheme val="minor"/>
    </font>
    <font>
      <sz val="10"/>
      <color theme="1"/>
      <name val="Arial Unicode MS"/>
    </font>
    <font>
      <sz val="8"/>
      <color theme="1"/>
      <name val="Segoe UI"/>
      <family val="2"/>
    </font>
    <font>
      <b/>
      <sz val="8"/>
      <color theme="1"/>
      <name val="Segoe UI"/>
      <family val="2"/>
    </font>
    <font>
      <b/>
      <sz val="11"/>
      <color rgb="FFFF0000"/>
      <name val="Calibri"/>
      <family val="2"/>
      <scheme val="minor"/>
    </font>
    <font>
      <b/>
      <u/>
      <sz val="11"/>
      <color rgb="FFFF0000"/>
      <name val="Calibri"/>
      <family val="2"/>
      <scheme val="minor"/>
    </font>
  </fonts>
  <fills count="2">
    <fill>
      <patternFill patternType="none"/>
    </fill>
    <fill>
      <patternFill patternType="gray125"/>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center"/>
    </xf>
    <xf numFmtId="0" fontId="1" fillId="0" borderId="0" xfId="0" applyFont="1" applyAlignment="1">
      <alignment horizontal="center" wrapText="1"/>
    </xf>
    <xf numFmtId="0" fontId="4" fillId="0" borderId="0" xfId="1" applyAlignment="1">
      <alignment horizontal="left" vertical="center" wrapText="1"/>
    </xf>
    <xf numFmtId="0" fontId="4" fillId="0" borderId="0" xfId="1"/>
    <xf numFmtId="22" fontId="0" fillId="0" borderId="0" xfId="0" applyNumberFormat="1"/>
    <xf numFmtId="49" fontId="0" fillId="0" borderId="0" xfId="0" applyNumberFormat="1"/>
    <xf numFmtId="0" fontId="1" fillId="0" borderId="0" xfId="0" applyFont="1" applyAlignment="1">
      <alignment horizontal="center" vertical="center" wrapText="1"/>
    </xf>
    <xf numFmtId="49" fontId="0" fillId="0" borderId="1" xfId="0" applyNumberFormat="1" applyBorder="1" applyAlignment="1">
      <alignment vertical="center" wrapText="1"/>
    </xf>
    <xf numFmtId="0" fontId="0" fillId="0" borderId="0" xfId="0" applyAlignment="1">
      <alignment vertical="center" wrapText="1"/>
    </xf>
    <xf numFmtId="0" fontId="5" fillId="0" borderId="0" xfId="0" applyFont="1"/>
    <xf numFmtId="0" fontId="6" fillId="0" borderId="0" xfId="0" applyFont="1" applyAlignment="1">
      <alignment vertical="center"/>
    </xf>
    <xf numFmtId="0" fontId="6" fillId="0" borderId="0" xfId="0" applyFont="1" applyAlignment="1">
      <alignment vertical="center" wrapText="1"/>
    </xf>
    <xf numFmtId="0" fontId="4" fillId="0" borderId="0" xfId="1" applyAlignment="1">
      <alignment horizontal="center" vertical="center" wrapText="1"/>
    </xf>
  </cellXfs>
  <cellStyles count="2">
    <cellStyle name="Lien hypertexte" xfId="1" builtinId="8"/>
    <cellStyle name="Normal" xfId="0" builtinId="0"/>
  </cellStyles>
  <dxfs count="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4)" backgroundRefresh="0" connectionId="1" xr16:uid="{6E285143-0D50-4FB9-88A1-2137DB5E821D}" autoFormatId="16" applyNumberFormats="0" applyBorderFormats="0" applyFontFormats="0" applyPatternFormats="0" applyAlignmentFormats="0" applyWidthHeightFormats="0">
  <queryTableRefresh nextId="6">
    <queryTableFields count="5">
      <queryTableField id="5" name="Nom" tableColumnId="1"/>
      <queryTableField id="1" name="Modifié" tableColumnId="2"/>
      <queryTableField id="2" name="Modifié par" tableColumnId="3"/>
      <queryTableField id="4" name="Type d'élément" tableColumnId="4"/>
      <queryTableField id="3" name="Chemin d'accè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2F6E42-8807-4FB8-AB0D-5A72D4B40973}" name="Tableau_query__4" displayName="Tableau_query__4" ref="A1:E23" tableType="queryTable" totalsRowShown="0">
  <autoFilter ref="A1:E23" xr:uid="{1C2F6E42-8807-4FB8-AB0D-5A72D4B40973}"/>
  <tableColumns count="5">
    <tableColumn id="1" xr3:uid="{51192F08-EA34-4D7E-892C-5527C412EA39}" uniqueName="FileLeafRef" name="Nom" queryTableFieldId="5"/>
    <tableColumn id="2" xr3:uid="{499A6632-CDE0-4BD2-B593-AA4B64AB3612}" uniqueName="Modified" name="Modifié" queryTableFieldId="1" dataDxfId="3"/>
    <tableColumn id="3" xr3:uid="{1F43C3E3-99E6-4041-B2D2-B5F927C3842B}" uniqueName="Editor" name="Modifié par" queryTableFieldId="2" dataDxfId="2"/>
    <tableColumn id="4" xr3:uid="{81ED7A16-F42C-4FF6-9110-190249F8EE25}" uniqueName="FSObjType" name="Type d'élément" queryTableFieldId="4" dataDxfId="1"/>
    <tableColumn id="5" xr3:uid="{B8B7D7CA-5B22-43FF-A8A4-EFF15C1B7C6E}" uniqueName="FileDirRef" name="Chemin d'accès" queryTableFieldId="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vimeo.com/1204306127?share=copy&amp;fl=sv&amp;fe=ci" TargetMode="External"/><Relationship Id="rId3" Type="http://schemas.openxmlformats.org/officeDocument/2006/relationships/hyperlink" Target="https://vimeo.com/1204306102?share=copy&amp;fl=sv&amp;fe=ci" TargetMode="External"/><Relationship Id="rId7" Type="http://schemas.openxmlformats.org/officeDocument/2006/relationships/hyperlink" Target="https://vimeo.com/1204306062?share=copy&amp;fl=sv&amp;fe=ci" TargetMode="External"/><Relationship Id="rId12" Type="http://schemas.openxmlformats.org/officeDocument/2006/relationships/hyperlink" Target="https://vimeo.com/1204328262?share=copy&amp;fl=sv&amp;fe=ci" TargetMode="External"/><Relationship Id="rId2" Type="http://schemas.openxmlformats.org/officeDocument/2006/relationships/hyperlink" Target="https://vimeo.com/1204306060?share=copy&amp;fl=sv&amp;fe=ci" TargetMode="External"/><Relationship Id="rId1" Type="http://schemas.openxmlformats.org/officeDocument/2006/relationships/hyperlink" Target="https://vimeo.com/1204306133?share=copy&amp;fl=sv&amp;fe=ci" TargetMode="External"/><Relationship Id="rId6" Type="http://schemas.openxmlformats.org/officeDocument/2006/relationships/hyperlink" Target="https://vimeo.com/1204306062?share=copy&amp;fl=sv&amp;fe=ci" TargetMode="External"/><Relationship Id="rId11" Type="http://schemas.openxmlformats.org/officeDocument/2006/relationships/hyperlink" Target="https://vimeo.com/1204328156?share=copy&amp;fl=sv&amp;fe=ci" TargetMode="External"/><Relationship Id="rId5" Type="http://schemas.openxmlformats.org/officeDocument/2006/relationships/hyperlink" Target="https://vimeo.com/1204306061?share=copy&amp;fl=sv&amp;fe=ci" TargetMode="External"/><Relationship Id="rId10" Type="http://schemas.openxmlformats.org/officeDocument/2006/relationships/hyperlink" Target="https://vimeo.com/1204328155?share=copy&amp;fl=sv&amp;fe=ci" TargetMode="External"/><Relationship Id="rId4" Type="http://schemas.openxmlformats.org/officeDocument/2006/relationships/hyperlink" Target="https://vimeo.com/1204306126?share=copy&amp;fl=sv&amp;fe=ci" TargetMode="External"/><Relationship Id="rId9" Type="http://schemas.openxmlformats.org/officeDocument/2006/relationships/hyperlink" Target="https://vimeo.com/1204328154?share=copy&amp;fl=sv&amp;fe=ci"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roupefnac.sharepoint.com/sites/SAVVY_FNACDARTY/Documents%20partages/DREAME_Referent/DREAME/Hub_referents_Dreame/BIT_Test_Single/Forward%20Vision%20sensor%20test.PNG" TargetMode="External"/><Relationship Id="rId13" Type="http://schemas.openxmlformats.org/officeDocument/2006/relationships/hyperlink" Target="https://groupefnac.sharepoint.com/sites/SAVVY_FNACDARTY/Documents%20partages/DREAME_Referent/DREAME/Hub_referents_Dreame/BIT_Test_Single/IMG_7345.PNG" TargetMode="External"/><Relationship Id="rId18" Type="http://schemas.openxmlformats.org/officeDocument/2006/relationships/hyperlink" Target="https://groupefnac.sharepoint.com/sites/SAVVY_FNACDARTY/Documents%20partages/DREAME_Referent/DREAME/Hub_referents_Dreame/BIT_Test_Single/Menu%20Bit%20test.PNG" TargetMode="External"/><Relationship Id="rId3" Type="http://schemas.openxmlformats.org/officeDocument/2006/relationships/hyperlink" Target="https://groupefnac.sharepoint.com/sites/SAVVY_FNACDARTY/Documents%20partages/DREAME_Referent/DREAME/Hub_referents_Dreame/BIT_Test_Single/Down%20sensor%20test.PNG" TargetMode="External"/><Relationship Id="rId21" Type="http://schemas.openxmlformats.org/officeDocument/2006/relationships/hyperlink" Target="https://groupefnac.sharepoint.com/sites/SAVVY_FNACDARTY/Documents%20partages/DREAME_Referent/DREAME/Hub_referents_Dreame/BIT_Test_Single/TOF%20Test%20checking%20passed.PNG" TargetMode="External"/><Relationship Id="rId7" Type="http://schemas.openxmlformats.org/officeDocument/2006/relationships/hyperlink" Target="https://groupefnac.sharepoint.com/sites/SAVVY_FNACDARTY/Documents%20partages/DREAME_Referent/DREAME/Hub_referents_Dreame/BIT_Test_Single/fan%20test.png" TargetMode="External"/><Relationship Id="rId12" Type="http://schemas.openxmlformats.org/officeDocument/2006/relationships/hyperlink" Target="https://groupefnac.sharepoint.com/sites/SAVVY_FNACDARTY/Documents%20partages/DREAME_Referent/DREAME/Hub_referents_Dreame/BIT_Test_Single/Gyroscope%20test%20checking.PNG" TargetMode="External"/><Relationship Id="rId17" Type="http://schemas.openxmlformats.org/officeDocument/2006/relationships/hyperlink" Target="https://groupefnac.sharepoint.com/sites/SAVVY_FNACDARTY/Documents%20partages/DREAME_Referent/DREAME/Hub_referents_Dreame/BIT_Test_Single/IMG_7352.PNG" TargetMode="External"/><Relationship Id="rId2" Type="http://schemas.openxmlformats.org/officeDocument/2006/relationships/hyperlink" Target="https://groupefnac.sharepoint.com/sites/SAVVY_FNACDARTY/Documents%20partages/DREAME_Referent/DREAME/Hub_referents_Dreame/BIT_Test_Single/Crash%20Test.PNG" TargetMode="External"/><Relationship Id="rId16" Type="http://schemas.openxmlformats.org/officeDocument/2006/relationships/hyperlink" Target="https://groupefnac.sharepoint.com/sites/SAVVY_FNACDARTY/Documents%20partages/DREAME_Referent/DREAME/Hub_referents_Dreame/BIT_Test_Single/IMG_7350.PNG" TargetMode="External"/><Relationship Id="rId20" Type="http://schemas.openxmlformats.org/officeDocument/2006/relationships/hyperlink" Target="https://groupefnac.sharepoint.com/sites/SAVVY_FNACDARTY/Documents%20partages/DREAME_Referent/DREAME/Hub_referents_Dreame/BIT_Test_Single/tank%20test.PNG" TargetMode="External"/><Relationship Id="rId1" Type="http://schemas.openxmlformats.org/officeDocument/2006/relationships/hyperlink" Target="https://groupefnac.sharepoint.com/sites/SAVVY_FNACDARTY/Documents%20partages/DREAME_Referent/DREAME/Hub_referents_Dreame/BIT_Test_Single/BIT_Test.pptx" TargetMode="External"/><Relationship Id="rId6" Type="http://schemas.openxmlformats.org/officeDocument/2006/relationships/hyperlink" Target="https://groupefnac.sharepoint.com/sites/SAVVY_FNACDARTY/Documents%20partages/DREAME_Referent/DREAME/Hub_referents_Dreame/BIT_Test_Single/Dust%20box%20test.MOV%20enlever%20le%20bac.PNG" TargetMode="External"/><Relationship Id="rId11" Type="http://schemas.openxmlformats.org/officeDocument/2006/relationships/hyperlink" Target="https://groupefnac.sharepoint.com/sites/SAVVY_FNACDARTY/Documents%20partages/DREAME_Referent/DREAME/Hub_referents_Dreame/BIT_Test_Single/Gyroscope%20test%20checking%20passed.PNG" TargetMode="External"/><Relationship Id="rId5" Type="http://schemas.openxmlformats.org/officeDocument/2006/relationships/hyperlink" Target="https://groupefnac.sharepoint.com/sites/SAVVY_FNACDARTY/Documents%20partages/DREAME_Referent/DREAME/Hub_referents_Dreame/BIT_Test_Single/drive%20wheel%20test%20checking.PNG" TargetMode="External"/><Relationship Id="rId15" Type="http://schemas.openxmlformats.org/officeDocument/2006/relationships/hyperlink" Target="https://groupefnac.sharepoint.com/sites/SAVVY_FNACDARTY/Documents%20partages/DREAME_Referent/DREAME/Hub_referents_Dreame/BIT_Test_Single/IMG_7349.PNG" TargetMode="External"/><Relationship Id="rId23" Type="http://schemas.openxmlformats.org/officeDocument/2006/relationships/table" Target="../tables/table1.xml"/><Relationship Id="rId10" Type="http://schemas.openxmlformats.org/officeDocument/2006/relationships/hyperlink" Target="https://groupefnac.sharepoint.com/sites/SAVVY_FNACDARTY/Documents%20partages/DREAME_Referent/DREAME/Hub_referents_Dreame/BIT_Test_Single/Geomagnatic%20test%20confirm.png" TargetMode="External"/><Relationship Id="rId19" Type="http://schemas.openxmlformats.org/officeDocument/2006/relationships/hyperlink" Target="https://groupefnac.sharepoint.com/sites/SAVVY_FNACDARTY/Documents%20partages/DREAME_Referent/DREAME/Hub_referents_Dreame/BIT_Test_Single/Menu%20BIT-Test.PNG" TargetMode="External"/><Relationship Id="rId4" Type="http://schemas.openxmlformats.org/officeDocument/2006/relationships/hyperlink" Target="https://groupefnac.sharepoint.com/sites/SAVVY_FNACDARTY/Documents%20partages/DREAME_Referent/DREAME/Hub_referents_Dreame/BIT_Test_Single/drive%20wheel%20test%20checking%20passed.PNG" TargetMode="External"/><Relationship Id="rId9" Type="http://schemas.openxmlformats.org/officeDocument/2006/relationships/hyperlink" Target="https://groupefnac.sharepoint.com/sites/SAVVY_FNACDARTY/Documents%20partages/DREAME_Referent/DREAME/Hub_referents_Dreame/BIT_Test_Single/Forward%20Vision%20sensor%20test_test%20passed.PNG" TargetMode="External"/><Relationship Id="rId14" Type="http://schemas.openxmlformats.org/officeDocument/2006/relationships/hyperlink" Target="https://groupefnac.sharepoint.com/sites/SAVVY_FNACDARTY/Documents%20partages/DREAME_Referent/DREAME/Hub_referents_Dreame/BIT_Test_Single/IMG_7346.PNG" TargetMode="External"/><Relationship Id="rId22" Type="http://schemas.openxmlformats.org/officeDocument/2006/relationships/hyperlink" Target="https://groupefnac.sharepoint.com/sites/SAVVY_FNACDARTY/Documents%20partages/DREAME_Referent/DREAME/Hub_referents_Dreame/BIT_Test_Single/TOF%20Test%20checking.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20"/>
  <sheetViews>
    <sheetView tabSelected="1" workbookViewId="0">
      <selection activeCell="F3" sqref="F3"/>
    </sheetView>
  </sheetViews>
  <sheetFormatPr baseColWidth="10" defaultColWidth="9.21875" defaultRowHeight="14.4"/>
  <cols>
    <col min="1" max="1" width="22.77734375" bestFit="1" customWidth="1"/>
    <col min="2" max="2" width="32.33203125" style="1" bestFit="1" customWidth="1"/>
    <col min="3" max="3" width="30.33203125" style="1" customWidth="1"/>
    <col min="4" max="4" width="30.33203125" style="12" customWidth="1"/>
    <col min="5" max="5" width="37.33203125" style="12" bestFit="1" customWidth="1"/>
    <col min="6" max="6" width="26.77734375" style="1" bestFit="1" customWidth="1"/>
    <col min="7" max="7" width="48.109375" style="1" bestFit="1" customWidth="1"/>
  </cols>
  <sheetData>
    <row r="2" spans="1:7" s="4" customFormat="1">
      <c r="A2" s="4" t="s">
        <v>16</v>
      </c>
      <c r="B2" s="5" t="str">
        <f>_xlfn.TRANSLATE(A2,"en","fr")</f>
        <v>BIT Test Single</v>
      </c>
      <c r="C2" s="5" t="s">
        <v>20</v>
      </c>
      <c r="D2" s="10" t="s">
        <v>17</v>
      </c>
      <c r="E2" s="10" t="s">
        <v>18</v>
      </c>
      <c r="F2" s="5" t="s">
        <v>21</v>
      </c>
      <c r="G2" s="5" t="s">
        <v>19</v>
      </c>
    </row>
    <row r="3" spans="1:7" s="4" customFormat="1" ht="388.8">
      <c r="A3" s="14" t="s">
        <v>93</v>
      </c>
      <c r="B3" s="15" t="s">
        <v>94</v>
      </c>
      <c r="C3" s="5" t="s">
        <v>95</v>
      </c>
      <c r="D3" s="10"/>
      <c r="E3" s="10"/>
      <c r="F3" s="16" t="s">
        <v>101</v>
      </c>
      <c r="G3" s="5" t="s">
        <v>97</v>
      </c>
    </row>
    <row r="4" spans="1:7" s="2" customFormat="1" ht="86.4">
      <c r="A4" s="2" t="s">
        <v>0</v>
      </c>
      <c r="B4" s="3" t="str">
        <f>_xlfn.TRANSLATE(A4,"en","fr")</f>
        <v>Test de collision</v>
      </c>
      <c r="C4" s="3" t="s">
        <v>25</v>
      </c>
      <c r="D4" t="s">
        <v>26</v>
      </c>
      <c r="E4" s="3"/>
      <c r="F4" s="6" t="s">
        <v>67</v>
      </c>
      <c r="G4" s="3" t="s">
        <v>22</v>
      </c>
    </row>
    <row r="5" spans="1:7" s="2" customFormat="1" ht="57.6">
      <c r="A5" s="2" t="s">
        <v>1</v>
      </c>
      <c r="B5" s="3" t="s">
        <v>90</v>
      </c>
      <c r="C5" s="3" t="s">
        <v>23</v>
      </c>
      <c r="D5" t="s">
        <v>24</v>
      </c>
      <c r="E5" s="3"/>
      <c r="F5" s="3"/>
      <c r="G5" s="3" t="s">
        <v>96</v>
      </c>
    </row>
    <row r="6" spans="1:7" s="2" customFormat="1" ht="28.8">
      <c r="A6" s="2" t="s">
        <v>2</v>
      </c>
      <c r="B6" s="3" t="str">
        <f t="shared" ref="B6:B18" si="0">_xlfn.TRANSLATE(A6,"en","fr")</f>
        <v>Test du capteur de vision avant</v>
      </c>
      <c r="C6" s="3" t="s">
        <v>29</v>
      </c>
      <c r="D6" t="s">
        <v>77</v>
      </c>
      <c r="E6" t="s">
        <v>27</v>
      </c>
      <c r="F6" s="3"/>
      <c r="G6" s="3" t="s">
        <v>28</v>
      </c>
    </row>
    <row r="7" spans="1:7" s="2" customFormat="1" ht="86.4">
      <c r="A7" s="2" t="s">
        <v>3</v>
      </c>
      <c r="B7" s="3" t="str">
        <f>_xlfn.TRANSLATE(A7,"en","fr") &amp; "/ Power Spectral Density"</f>
        <v>Test PSD/ Power Spectral Density</v>
      </c>
      <c r="C7" s="3" t="s">
        <v>31</v>
      </c>
      <c r="D7" s="3"/>
      <c r="E7" s="3"/>
      <c r="F7" s="6" t="s">
        <v>66</v>
      </c>
      <c r="G7" s="3" t="s">
        <v>30</v>
      </c>
    </row>
    <row r="8" spans="1:7" s="2" customFormat="1" ht="129.6">
      <c r="A8" s="2" t="s">
        <v>4</v>
      </c>
      <c r="B8" s="3" t="str">
        <f>_xlfn.TRANSLATE(A8,"en","fr") &amp; " / Time Of Flight"</f>
        <v>Test TOF / Time Of Flight</v>
      </c>
      <c r="C8" s="3" t="s">
        <v>35</v>
      </c>
      <c r="D8" t="s">
        <v>32</v>
      </c>
      <c r="E8" t="s">
        <v>33</v>
      </c>
      <c r="F8" s="3"/>
      <c r="G8" s="3" t="s">
        <v>50</v>
      </c>
    </row>
    <row r="9" spans="1:7" s="2" customFormat="1" ht="72">
      <c r="A9" s="2" t="s">
        <v>5</v>
      </c>
      <c r="B9" s="3" t="str">
        <f>_xlfn.TRANSLATE(A9,"en","fr") &amp; " / Laser Distance Sensor"</f>
        <v>Test LDS / Laser Distance Sensor</v>
      </c>
      <c r="C9" s="3" t="s">
        <v>47</v>
      </c>
      <c r="D9" s="3"/>
      <c r="E9" s="3"/>
      <c r="F9" s="6" t="s">
        <v>66</v>
      </c>
      <c r="G9" s="3" t="s">
        <v>34</v>
      </c>
    </row>
    <row r="10" spans="1:7" s="2" customFormat="1" ht="28.8">
      <c r="A10" s="2" t="s">
        <v>36</v>
      </c>
      <c r="B10" s="3" t="str">
        <f t="shared" si="0"/>
        <v>Test des roues motrices</v>
      </c>
      <c r="C10" s="2" t="s">
        <v>37</v>
      </c>
      <c r="D10" t="s">
        <v>40</v>
      </c>
      <c r="E10" t="s">
        <v>39</v>
      </c>
      <c r="F10" s="6" t="s">
        <v>64</v>
      </c>
      <c r="G10" s="3" t="s">
        <v>48</v>
      </c>
    </row>
    <row r="11" spans="1:7" s="2" customFormat="1" ht="28.8">
      <c r="A11" s="2" t="s">
        <v>6</v>
      </c>
      <c r="B11" s="3" t="str">
        <f t="shared" si="0"/>
        <v>Test du gyroscope</v>
      </c>
      <c r="C11" s="3" t="s">
        <v>38</v>
      </c>
      <c r="D11" s="13" t="s">
        <v>79</v>
      </c>
      <c r="E11" t="s">
        <v>41</v>
      </c>
      <c r="F11" s="6" t="s">
        <v>65</v>
      </c>
      <c r="G11" s="3" t="s">
        <v>42</v>
      </c>
    </row>
    <row r="12" spans="1:7" s="2" customFormat="1" ht="115.2">
      <c r="A12" s="2" t="s">
        <v>7</v>
      </c>
      <c r="B12" s="3" t="str">
        <f t="shared" si="0"/>
        <v>Test géomagnatique</v>
      </c>
      <c r="C12" s="3" t="s">
        <v>49</v>
      </c>
      <c r="D12" s="11"/>
      <c r="E12" s="3"/>
      <c r="F12" s="3"/>
      <c r="G12" s="3" t="s">
        <v>88</v>
      </c>
    </row>
    <row r="13" spans="1:7" s="2" customFormat="1" ht="57.6">
      <c r="A13" s="2" t="s">
        <v>8</v>
      </c>
      <c r="B13" s="3" t="str">
        <f t="shared" si="0"/>
        <v>Test de la boîte à poussière</v>
      </c>
      <c r="C13" s="3" t="s">
        <v>45</v>
      </c>
      <c r="D13" t="s">
        <v>44</v>
      </c>
      <c r="E13" s="3"/>
      <c r="F13" s="6" t="s">
        <v>61</v>
      </c>
      <c r="G13" s="3" t="s">
        <v>43</v>
      </c>
    </row>
    <row r="14" spans="1:7" s="2" customFormat="1" ht="115.2">
      <c r="A14" s="2" t="s">
        <v>9</v>
      </c>
      <c r="B14" s="3" t="s">
        <v>46</v>
      </c>
      <c r="C14" s="3"/>
      <c r="D14" t="s">
        <v>59</v>
      </c>
      <c r="E14" t="s">
        <v>91</v>
      </c>
      <c r="F14" s="3"/>
      <c r="G14" s="3" t="s">
        <v>89</v>
      </c>
    </row>
    <row r="15" spans="1:7" s="2" customFormat="1" ht="28.8">
      <c r="A15" s="2" t="s">
        <v>10</v>
      </c>
      <c r="B15" s="3" t="str">
        <f t="shared" si="0"/>
        <v>Test du ventilateur</v>
      </c>
      <c r="C15" s="3"/>
      <c r="D15" t="s">
        <v>60</v>
      </c>
      <c r="E15" s="3"/>
      <c r="F15" s="6" t="s">
        <v>62</v>
      </c>
      <c r="G15" s="3"/>
    </row>
    <row r="16" spans="1:7" s="2" customFormat="1" ht="100.8">
      <c r="A16" s="2" t="s">
        <v>11</v>
      </c>
      <c r="B16" s="3" t="str">
        <f t="shared" si="0"/>
        <v>Test de brossage latéral</v>
      </c>
      <c r="C16" s="3"/>
      <c r="D16" t="s">
        <v>92</v>
      </c>
      <c r="E16" s="3"/>
      <c r="F16" s="3"/>
      <c r="G16" s="3" t="s">
        <v>87</v>
      </c>
    </row>
    <row r="17" spans="1:7" s="2" customFormat="1" ht="100.8">
      <c r="A17" s="2" t="s">
        <v>12</v>
      </c>
      <c r="B17" s="3" t="s">
        <v>52</v>
      </c>
      <c r="C17" s="3" t="s">
        <v>58</v>
      </c>
      <c r="D17" s="3"/>
      <c r="E17" s="3"/>
      <c r="F17" s="6" t="s">
        <v>63</v>
      </c>
      <c r="G17" s="3" t="s">
        <v>51</v>
      </c>
    </row>
    <row r="18" spans="1:7" s="2" customFormat="1" ht="28.8">
      <c r="A18" s="2" t="s">
        <v>13</v>
      </c>
      <c r="B18" s="3" t="str">
        <f t="shared" si="0"/>
        <v>Détection de levage par nettoyage</v>
      </c>
      <c r="C18" s="3"/>
      <c r="D18" s="3"/>
      <c r="E18" s="3"/>
      <c r="F18" s="6" t="s">
        <v>98</v>
      </c>
      <c r="G18" s="3"/>
    </row>
    <row r="19" spans="1:7" s="2" customFormat="1" ht="43.2">
      <c r="A19" s="2" t="s">
        <v>14</v>
      </c>
      <c r="B19" s="3" t="s">
        <v>53</v>
      </c>
      <c r="C19" s="3" t="s">
        <v>54</v>
      </c>
      <c r="D19" s="3"/>
      <c r="E19" s="3"/>
      <c r="F19" s="6" t="s">
        <v>100</v>
      </c>
      <c r="G19" s="3"/>
    </row>
    <row r="20" spans="1:7" s="2" customFormat="1" ht="57.6">
      <c r="A20" s="2" t="s">
        <v>15</v>
      </c>
      <c r="B20" s="3" t="s">
        <v>57</v>
      </c>
      <c r="C20" s="3" t="s">
        <v>56</v>
      </c>
      <c r="D20" s="3"/>
      <c r="E20" s="3"/>
      <c r="F20" s="6" t="s">
        <v>99</v>
      </c>
      <c r="G20" s="3" t="s">
        <v>55</v>
      </c>
    </row>
  </sheetData>
  <phoneticPr fontId="2" type="noConversion"/>
  <hyperlinks>
    <hyperlink ref="F13" r:id="rId1" xr:uid="{8311304E-41FB-4B2E-9AED-F49284910EBC}"/>
    <hyperlink ref="F15" r:id="rId2" xr:uid="{55486497-4BF6-4670-804B-2D86E364272C}"/>
    <hyperlink ref="F17" r:id="rId3" xr:uid="{ACE053D1-986B-4C7F-9641-AABBB418751D}"/>
    <hyperlink ref="F10" r:id="rId4" xr:uid="{BFF3F5E7-CD3D-4B80-9333-C34DC2A40B3D}"/>
    <hyperlink ref="F11" r:id="rId5" xr:uid="{D34255A3-E814-400B-83C5-A061BA7CC94F}"/>
    <hyperlink ref="F9" r:id="rId6" xr:uid="{6AF01FE5-6CCD-4E38-9DB1-6F84BFAD0FCA}"/>
    <hyperlink ref="F7" r:id="rId7" xr:uid="{C905FA5E-63A7-4F15-B078-AA4EA3FE5A2B}"/>
    <hyperlink ref="F4" r:id="rId8" xr:uid="{B3A9FC41-7B54-4E77-9541-78B8B410AFAB}"/>
    <hyperlink ref="F18" r:id="rId9" xr:uid="{2A0D0948-03DF-4066-8EAF-7160F12558D1}"/>
    <hyperlink ref="F20" r:id="rId10" xr:uid="{C970B4A4-349B-4FD3-832E-A4BF7F1AA092}"/>
    <hyperlink ref="F19" r:id="rId11" xr:uid="{6E28CCC8-3EA7-40DD-8819-91257F796320}"/>
    <hyperlink ref="F3" r:id="rId12" xr:uid="{1E3873C9-1BB3-4E4B-B01C-8DC049280A8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455B-BEFC-42EF-97B5-31D9853CFD3B}">
  <dimension ref="A1:E23"/>
  <sheetViews>
    <sheetView workbookViewId="0">
      <selection activeCell="E3" sqref="E3"/>
    </sheetView>
  </sheetViews>
  <sheetFormatPr baseColWidth="10" defaultColWidth="52.88671875" defaultRowHeight="14.4"/>
  <sheetData>
    <row r="1" spans="1:5">
      <c r="A1" t="s">
        <v>68</v>
      </c>
      <c r="B1" t="s">
        <v>69</v>
      </c>
      <c r="C1" t="s">
        <v>70</v>
      </c>
      <c r="D1" t="s">
        <v>71</v>
      </c>
      <c r="E1" t="s">
        <v>72</v>
      </c>
    </row>
    <row r="2" spans="1:5">
      <c r="A2" s="7" t="s">
        <v>73</v>
      </c>
      <c r="B2" s="8">
        <v>46197.897337962961</v>
      </c>
      <c r="C2" s="9" t="s">
        <v>74</v>
      </c>
      <c r="D2" s="9" t="s">
        <v>75</v>
      </c>
      <c r="E2" s="9" t="s">
        <v>76</v>
      </c>
    </row>
    <row r="3" spans="1:5">
      <c r="A3" s="7" t="s">
        <v>26</v>
      </c>
      <c r="B3" s="8">
        <v>46197.897037037037</v>
      </c>
      <c r="C3" s="9" t="s">
        <v>74</v>
      </c>
      <c r="D3" s="9" t="s">
        <v>75</v>
      </c>
      <c r="E3" s="9" t="s">
        <v>76</v>
      </c>
    </row>
    <row r="4" spans="1:5">
      <c r="A4" s="7" t="s">
        <v>24</v>
      </c>
      <c r="B4" s="8">
        <v>46197.897037037037</v>
      </c>
      <c r="C4" s="9" t="s">
        <v>74</v>
      </c>
      <c r="D4" s="9" t="s">
        <v>75</v>
      </c>
      <c r="E4" s="9" t="s">
        <v>76</v>
      </c>
    </row>
    <row r="5" spans="1:5">
      <c r="A5" s="7" t="s">
        <v>39</v>
      </c>
      <c r="B5" s="8">
        <v>46197.897048611114</v>
      </c>
      <c r="C5" s="9" t="s">
        <v>74</v>
      </c>
      <c r="D5" s="9" t="s">
        <v>75</v>
      </c>
      <c r="E5" s="9" t="s">
        <v>76</v>
      </c>
    </row>
    <row r="6" spans="1:5">
      <c r="A6" s="7" t="s">
        <v>40</v>
      </c>
      <c r="B6" s="8">
        <v>46197.897048611114</v>
      </c>
      <c r="C6" s="9" t="s">
        <v>74</v>
      </c>
      <c r="D6" s="9" t="s">
        <v>75</v>
      </c>
      <c r="E6" s="9" t="s">
        <v>76</v>
      </c>
    </row>
    <row r="7" spans="1:5">
      <c r="A7" s="7" t="s">
        <v>44</v>
      </c>
      <c r="B7" s="8">
        <v>46197.897048611114</v>
      </c>
      <c r="C7" s="9" t="s">
        <v>74</v>
      </c>
      <c r="D7" s="9" t="s">
        <v>75</v>
      </c>
      <c r="E7" s="9" t="s">
        <v>76</v>
      </c>
    </row>
    <row r="8" spans="1:5">
      <c r="A8" s="7" t="s">
        <v>60</v>
      </c>
      <c r="B8" s="8">
        <v>46197.897060185183</v>
      </c>
      <c r="C8" s="9" t="s">
        <v>74</v>
      </c>
      <c r="D8" s="9" t="s">
        <v>75</v>
      </c>
      <c r="E8" s="9" t="s">
        <v>76</v>
      </c>
    </row>
    <row r="9" spans="1:5">
      <c r="A9" s="7" t="s">
        <v>77</v>
      </c>
      <c r="B9" s="8">
        <v>46197.897048611114</v>
      </c>
      <c r="C9" s="9" t="s">
        <v>74</v>
      </c>
      <c r="D9" s="9" t="s">
        <v>75</v>
      </c>
      <c r="E9" s="9" t="s">
        <v>76</v>
      </c>
    </row>
    <row r="10" spans="1:5">
      <c r="A10" s="7" t="s">
        <v>27</v>
      </c>
      <c r="B10" s="8">
        <v>46197.897048611114</v>
      </c>
      <c r="C10" s="9" t="s">
        <v>74</v>
      </c>
      <c r="D10" s="9" t="s">
        <v>75</v>
      </c>
      <c r="E10" s="9" t="s">
        <v>76</v>
      </c>
    </row>
    <row r="11" spans="1:5">
      <c r="A11" s="7" t="s">
        <v>78</v>
      </c>
      <c r="B11" s="8">
        <v>46197.897060185183</v>
      </c>
      <c r="C11" s="9" t="s">
        <v>74</v>
      </c>
      <c r="D11" s="9" t="s">
        <v>75</v>
      </c>
      <c r="E11" s="9" t="s">
        <v>76</v>
      </c>
    </row>
    <row r="12" spans="1:5">
      <c r="A12" s="7" t="s">
        <v>41</v>
      </c>
      <c r="B12" s="8">
        <v>46197.897060185183</v>
      </c>
      <c r="C12" s="9" t="s">
        <v>74</v>
      </c>
      <c r="D12" s="9" t="s">
        <v>75</v>
      </c>
      <c r="E12" s="9" t="s">
        <v>76</v>
      </c>
    </row>
    <row r="13" spans="1:5">
      <c r="A13" s="7" t="s">
        <v>79</v>
      </c>
      <c r="B13" s="8">
        <v>46197.897060185183</v>
      </c>
      <c r="C13" s="9" t="s">
        <v>74</v>
      </c>
      <c r="D13" s="9" t="s">
        <v>75</v>
      </c>
      <c r="E13" s="9" t="s">
        <v>76</v>
      </c>
    </row>
    <row r="14" spans="1:5">
      <c r="A14" s="7" t="s">
        <v>80</v>
      </c>
      <c r="B14" s="8">
        <v>46197.897060185183</v>
      </c>
      <c r="C14" s="9" t="s">
        <v>74</v>
      </c>
      <c r="D14" s="9" t="s">
        <v>75</v>
      </c>
      <c r="E14" s="9" t="s">
        <v>76</v>
      </c>
    </row>
    <row r="15" spans="1:5">
      <c r="A15" s="7" t="s">
        <v>81</v>
      </c>
      <c r="B15" s="8">
        <v>46197.897060185183</v>
      </c>
      <c r="C15" s="9" t="s">
        <v>74</v>
      </c>
      <c r="D15" s="9" t="s">
        <v>75</v>
      </c>
      <c r="E15" s="9" t="s">
        <v>76</v>
      </c>
    </row>
    <row r="16" spans="1:5">
      <c r="A16" s="7" t="s">
        <v>82</v>
      </c>
      <c r="B16" s="8">
        <v>46197.897060185183</v>
      </c>
      <c r="C16" s="9" t="s">
        <v>74</v>
      </c>
      <c r="D16" s="9" t="s">
        <v>75</v>
      </c>
      <c r="E16" s="9" t="s">
        <v>76</v>
      </c>
    </row>
    <row r="17" spans="1:5">
      <c r="A17" s="7" t="s">
        <v>83</v>
      </c>
      <c r="B17" s="8">
        <v>46197.89707175926</v>
      </c>
      <c r="C17" s="9" t="s">
        <v>74</v>
      </c>
      <c r="D17" s="9" t="s">
        <v>75</v>
      </c>
      <c r="E17" s="9" t="s">
        <v>76</v>
      </c>
    </row>
    <row r="18" spans="1:5">
      <c r="A18" s="7" t="s">
        <v>84</v>
      </c>
      <c r="B18" s="8">
        <v>46197.89707175926</v>
      </c>
      <c r="C18" s="9" t="s">
        <v>74</v>
      </c>
      <c r="D18" s="9" t="s">
        <v>75</v>
      </c>
      <c r="E18" s="9" t="s">
        <v>76</v>
      </c>
    </row>
    <row r="19" spans="1:5">
      <c r="A19" s="7" t="s">
        <v>85</v>
      </c>
      <c r="B19" s="8">
        <v>46197.89707175926</v>
      </c>
      <c r="C19" s="9" t="s">
        <v>74</v>
      </c>
      <c r="D19" s="9" t="s">
        <v>75</v>
      </c>
      <c r="E19" s="9" t="s">
        <v>76</v>
      </c>
    </row>
    <row r="20" spans="1:5">
      <c r="A20" s="7" t="s">
        <v>86</v>
      </c>
      <c r="B20" s="8">
        <v>46197.89707175926</v>
      </c>
      <c r="C20" s="9" t="s">
        <v>74</v>
      </c>
      <c r="D20" s="9" t="s">
        <v>75</v>
      </c>
      <c r="E20" s="9" t="s">
        <v>76</v>
      </c>
    </row>
    <row r="21" spans="1:5">
      <c r="A21" s="7" t="s">
        <v>59</v>
      </c>
      <c r="B21" s="8">
        <v>46197.897037037037</v>
      </c>
      <c r="C21" s="9" t="s">
        <v>74</v>
      </c>
      <c r="D21" s="9" t="s">
        <v>75</v>
      </c>
      <c r="E21" s="9" t="s">
        <v>76</v>
      </c>
    </row>
    <row r="22" spans="1:5">
      <c r="A22" s="7" t="s">
        <v>33</v>
      </c>
      <c r="B22" s="8">
        <v>46197.897037037037</v>
      </c>
      <c r="C22" s="9" t="s">
        <v>74</v>
      </c>
      <c r="D22" s="9" t="s">
        <v>75</v>
      </c>
      <c r="E22" s="9" t="s">
        <v>76</v>
      </c>
    </row>
    <row r="23" spans="1:5">
      <c r="A23" s="7" t="s">
        <v>32</v>
      </c>
      <c r="B23" s="8">
        <v>46197.897037037037</v>
      </c>
      <c r="C23" s="9" t="s">
        <v>74</v>
      </c>
      <c r="D23" s="9" t="s">
        <v>75</v>
      </c>
      <c r="E23" s="9" t="s">
        <v>76</v>
      </c>
    </row>
  </sheetData>
  <hyperlinks>
    <hyperlink ref="A2" r:id="rId1" xr:uid="{42440853-24CC-44FD-8BE2-819E7C00100C}"/>
    <hyperlink ref="A3" r:id="rId2" xr:uid="{4A124001-B106-4905-8785-E6F18DF65F4E}"/>
    <hyperlink ref="A4" r:id="rId3" xr:uid="{C4107B62-487C-4760-BB0E-0333B999DDA1}"/>
    <hyperlink ref="A5" r:id="rId4" xr:uid="{07B9E09A-BBDF-4642-9D44-C4625DAA02C5}"/>
    <hyperlink ref="A6" r:id="rId5" xr:uid="{69D1447D-E1D2-4096-92F8-005086955F94}"/>
    <hyperlink ref="A7" r:id="rId6" xr:uid="{C0A54B29-40C8-47D4-9383-6C2AC8CA1536}"/>
    <hyperlink ref="A8" r:id="rId7" xr:uid="{F396C26E-91B4-40BF-B5A2-2DFB7490BFDF}"/>
    <hyperlink ref="A9" r:id="rId8" xr:uid="{E7E44BE2-C4C3-4FE8-9B90-617A42E373F6}"/>
    <hyperlink ref="A10" r:id="rId9" xr:uid="{2963E887-6BC4-44D0-BAFF-6B037543138E}"/>
    <hyperlink ref="A11" r:id="rId10" xr:uid="{48104FDF-0756-4759-900B-F2FFE3EE5FD6}"/>
    <hyperlink ref="A12" r:id="rId11" xr:uid="{BA32ED21-4A32-4CCF-833A-BF0788EEE3D3}"/>
    <hyperlink ref="A13" r:id="rId12" xr:uid="{D4F6AD53-5E3E-4448-89CF-C3C48DB8D926}"/>
    <hyperlink ref="A14" r:id="rId13" xr:uid="{68935788-2EDA-4591-AD75-A3F7CA8A67C7}"/>
    <hyperlink ref="A15" r:id="rId14" xr:uid="{7FCCB3E6-E9E1-4F7C-880F-87CA6529FF70}"/>
    <hyperlink ref="A16" r:id="rId15" xr:uid="{276FEB22-7439-4963-B393-59FF77D03C7E}"/>
    <hyperlink ref="A17" r:id="rId16" xr:uid="{4A9D4F4E-04C0-408D-B2EC-B2734FAA6B85}"/>
    <hyperlink ref="A18" r:id="rId17" xr:uid="{E8645537-2DB1-4B02-8FD0-E286AA79849E}"/>
    <hyperlink ref="A19" r:id="rId18" xr:uid="{1B2DECC8-CD48-42A6-8ABD-00963BD8E327}"/>
    <hyperlink ref="A20" r:id="rId19" xr:uid="{61AAF7A8-51A9-4EC3-89F7-F467F303B7FF}"/>
    <hyperlink ref="A21" r:id="rId20" xr:uid="{6C53F7A0-F920-495E-B394-0EA19914148C}"/>
    <hyperlink ref="A22" r:id="rId21" xr:uid="{1D2A369A-14ED-4F53-8667-3700C394FA6E}"/>
    <hyperlink ref="A23" r:id="rId22" xr:uid="{ABCA4607-BA22-4D16-A810-F84C4E4FD3B3}"/>
  </hyperlinks>
  <pageMargins left="0.7" right="0.7" top="0.75" bottom="0.75" header="0.3" footer="0.3"/>
  <tableParts count="1">
    <tablePart r:id="rId2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Bit_Test_Single</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jerome leconte</dc:creator>
  <cp:lastModifiedBy>LECONTE Jerome</cp:lastModifiedBy>
  <dcterms:created xsi:type="dcterms:W3CDTF">2015-06-05T18:19:34Z</dcterms:created>
  <dcterms:modified xsi:type="dcterms:W3CDTF">2026-06-24T21:07:21Z</dcterms:modified>
</cp:coreProperties>
</file>