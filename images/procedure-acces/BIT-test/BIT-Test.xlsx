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267" documentId="11_AD4D9D64A577C15A4A54181B381C6B805BDEDD8C" xr6:coauthVersionLast="47" xr6:coauthVersionMax="47" xr10:uidLastSave="{BDE3A614-E5F5-4ABD-8D0E-E02E18B05574}"/>
  <bookViews>
    <workbookView xWindow="-108" yWindow="-108" windowWidth="41496" windowHeight="16776" xr2:uid="{00000000-000D-0000-FFFF-FFFF00000000}"/>
  </bookViews>
  <sheets>
    <sheet name="Bit_Test_Single" sheetId="1" r:id="rId1"/>
    <sheet name="Feuil1" sheetId="2" r:id="rId2"/>
  </sheets>
  <definedNames>
    <definedName name="query__4" localSheetId="1" hidden="1">Feuil1!$A$1:$E$23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D3" i="1"/>
  <c r="B9" i="1"/>
  <c r="B7" i="1"/>
  <c r="B8" i="1"/>
  <c r="B6" i="1"/>
  <c r="B10" i="1"/>
  <c r="B11" i="1"/>
  <c r="B12" i="1"/>
  <c r="B13" i="1"/>
  <c r="B15" i="1"/>
  <c r="B16" i="1"/>
  <c r="B18"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14D57D-DD73-4FA6-99DE-1F465DBA898F}" odcFile="C:\Users\jerom\Downloads\query (4).iqy" keepAlive="1" name="query (4)" type="5" refreshedVersion="8" minRefreshableVersion="3" saveData="1">
    <dbPr connection="Provider=Microsoft.Office.List.OLEDB.2.0;Data Source=&quot;&quot;;ApplicationName=Excel;Version=12.0.0.0" command="&lt;LIST&gt;&lt;VIEWGUID&gt;4B095B6C-E238-4145-AEAC-58FC81495ECD&lt;/VIEWGUID&gt;&lt;LISTNAME&gt;7043100c-5b9c-457f-ab38-a4bb8df4a390&lt;/LISTNAME&gt;&lt;LISTWEB&gt;https://groupefnac.sharepoint.com/sites/SAVVY_FNACDARTY/_vti_bin&lt;/LISTWEB&gt;&lt;LISTSUBWEB&gt;&lt;/LISTSUBWEB&gt;&lt;ROOTFOLDER&gt;/sites/SAVVY%5fFNACDARTY/Documents%20partages/DREAME%5fReferent/DREAME/Hub%5freferents%5fDreame/BIT%5fTest%5fSingle&lt;/ROOTFOLDER&gt;&lt;/LIST&gt;" commandType="5"/>
  </connection>
</connections>
</file>

<file path=xl/sharedStrings.xml><?xml version="1.0" encoding="utf-8"?>
<sst xmlns="http://schemas.openxmlformats.org/spreadsheetml/2006/main" count="179" uniqueCount="102">
  <si>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</si>
  <si>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</si>
  <si>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</si>
  <si>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</si>
  <si>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</si>
  <si>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</si>
  <si>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</si>
  <si>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</si>
  <si>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</si>
  <si>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</si>
  <si>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</si>
  <si>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</si>
  <si>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</si>
  <si>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</si>
  <si>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</si>
  <si>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</si>
  <si>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</si>
  <si>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</si>
  <si>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</si>
  <si>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</si>
  <si>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</si>
  <si>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</si>
  <si>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</si>
  <si>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</si>
  <si>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</si>
  <si>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</si>
  <si>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</si>
  <si>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</si>
  <si>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</si>
  <si>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Forward Vision sensor test Test checking….</t>
  </si>
  <si>
    <t>Test laser lateral</t>
  </si>
  <si>
    <t>PSD test checking… "Power Spectral Density"
Veuillez protéger le capteur de bord.
Test Réussi
Test terminé</t>
  </si>
  <si>
    <t>TOF Test checking.PNG</t>
  </si>
  <si>
    <t>TOF Test checking passed.PNG</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</si>
  <si>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</si>
  <si>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</si>
  <si>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</si>
  <si>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</si>
  <si>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</si>
  <si>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</si>
  <si>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</si>
  <si>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</si>
  <si>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</si>
  <si>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</si>
  <si>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</si>
  <si>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</si>
  <si>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</si>
  <si>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</si>
  <si>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</si>
  <si>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</si>
  <si>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</si>
  <si>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</si>
  <si>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</si>
  <si>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</si>
  <si>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</si>
  <si>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</si>
  <si>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</si>
  <si>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</si>
  <si>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Test réussi
Test terminé</t>
  </si>
  <si>
    <t>tank test.PNG</t>
  </si>
  <si>
    <t>fan test.png</t>
  </si>
  <si>
    <t>https://vimeo.com/1204306133?share=copy&amp;fl=sv&amp;fe=ci</t>
  </si>
  <si>
    <t>https://vimeo.com/1204306060?share=copy&amp;fl=sv&amp;fe=ci</t>
  </si>
  <si>
    <t>https://vimeo.com/1204306102?share=copy&amp;fl=sv&amp;fe=ci</t>
  </si>
  <si>
    <t>https://vimeo.com/1204306126?share=copy&amp;fl=sv&amp;fe=ci</t>
  </si>
  <si>
    <t>https://vimeo.com/1204306061?share=copy&amp;fl=sv&amp;fe=ci</t>
  </si>
  <si>
    <t>https://vimeo.com/1204306062?share=copy&amp;fl=sv&amp;fe=ci</t>
  </si>
  <si>
    <t>https://vimeo.com/1204306127?share=copy&amp;fl=sv&amp;fe=ci</t>
  </si>
  <si>
    <t>Nom</t>
  </si>
  <si>
    <t>Modifié</t>
  </si>
  <si>
    <t>Modifié par</t>
  </si>
  <si>
    <t>Type d'élément</t>
  </si>
  <si>
    <t>Chemin d'accès</t>
  </si>
  <si>
    <t>BIT_Test.pptx</t>
  </si>
  <si>
    <t>LECONTE Jerome</t>
  </si>
  <si>
    <t>Élément </t>
  </si>
  <si>
    <t>sites/SAVVY_FNACDARTY/Documents partages/DREAME_Referent/DREAME/Hub_referents_Dreame/BIT_Test_Single</t>
  </si>
  <si>
    <t>Forward Vision sensor test.PNG</t>
  </si>
  <si>
    <t>Geomagnatic test confirm.png</t>
  </si>
  <si>
    <t>Gyroscope test checking.PNG</t>
  </si>
  <si>
    <t>IMG_7345.PNG</t>
  </si>
  <si>
    <t>IMG_7346.PNG</t>
  </si>
  <si>
    <t>IMG_7349.PNG</t>
  </si>
  <si>
    <t>IMG_7350.PNG</t>
  </si>
  <si>
    <t>IMG_7352.PNG</t>
  </si>
  <si>
    <t>Menu Bit test.PNG</t>
  </si>
  <si>
    <t>Menu BIT-Test.PNG</t>
  </si>
  <si>
    <t>Placez le robot au sol, face inférieure orientée vers le bas.
Après l’annonce vocale du robot, la brosse latérale effectue des rotations en marche avant puis en marche arrière à différentes vitesses. Une fois le test terminé, la brosse latérale s’arrête et le résultat du test est annoncé vocalement.</t>
  </si>
  <si>
    <t>Lancez le test géomagnétique depuis l’interface BIT. Après l’annonce vocale du robot, celui-ci effectue un autocontrôle du capteur géomagnétique. À l’issue du test, le résultat est communiqué par message vocal.</t>
  </si>
  <si>
    <r>
      <t xml:space="preserve">Retirez le réservoir d’eau, puis remettez-le en place.
</t>
    </r>
    <r>
      <rPr>
        <sz val="11"/>
        <color rgb="FFFF0000"/>
        <rFont val="Calibri"/>
        <family val="2"/>
        <scheme val="minor"/>
      </rPr>
      <t>Remarque : l’emplacement et la conception des réservoirs d’eau varient selon les modèles. Certains appareils sont équipés d’un réservoir intégré non amovible ; dans ce cas, il n’est pas nécessaire d’effectuer le test du réservoir d’eau. Veillez à identifier correctement le type de réservoir dont est équipé le modèle concerné.</t>
    </r>
  </si>
  <si>
    <t>Test capteurs de chute</t>
  </si>
  <si>
    <t>tank test 2.PNG</t>
  </si>
  <si>
    <t>side brush test.png</t>
  </si>
  <si>
    <t>Accès au mode BIT Test Dreame/Mova</t>
  </si>
  <si>
    <r>
      <t xml:space="preserve">Le mode </t>
    </r>
    <r>
      <rPr>
        <b/>
        <sz val="8"/>
        <color theme="1"/>
        <rFont val="Segoe UI"/>
        <family val="2"/>
      </rPr>
      <t>BIT Test (Built-In Test)</t>
    </r>
    <r>
      <rPr>
        <sz val="8"/>
        <color theme="1"/>
        <rFont val="Segoe UI"/>
        <family val="2"/>
      </rPr>
      <t xml:space="preserve"> permet de vérifier individuellement les principaux composants du robot Dreame et MOVA afin de confirmer un diagnostic ou valider une réparation après intervention.</t>
    </r>
  </si>
  <si>
    <r>
      <t xml:space="preserve">Test capteur de vide / chute
</t>
    </r>
    <r>
      <rPr>
        <b/>
        <u/>
        <sz val="11"/>
        <color rgb="FFFF0000"/>
        <rFont val="Calibri"/>
        <family val="2"/>
        <scheme val="minor"/>
      </rPr>
      <t>Remarque :</t>
    </r>
    <r>
      <rPr>
        <b/>
        <sz val="11"/>
        <color rgb="FFFF0000"/>
        <rFont val="Calibri"/>
        <family val="2"/>
        <scheme val="minor"/>
      </rPr>
      <t xml:space="preserve"> Attention de bien prendre le robot sur l'avant et l'arrière, les capteurs de chute se trouvent sur les cotés droites et gauche</t>
    </r>
  </si>
  <si>
    <r>
      <t xml:space="preserve">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
Mode BIT séquentiel </t>
    </r>
    <r>
      <rPr>
        <b/>
        <sz val="11"/>
        <color rgb="FFFF0000"/>
        <rFont val="Calibri"/>
        <family val="2"/>
        <scheme val="minor"/>
      </rPr>
      <t>(sans application)</t>
    </r>
    <r>
      <rPr>
        <b/>
        <sz val="11"/>
        <color theme="1"/>
        <rFont val="Calibri"/>
        <family val="2"/>
        <scheme val="minor"/>
      </rPr>
      <t xml:space="preserve">
Il est également possible d'exécuter un contrôle complet directement depuis le robot :
Allumer le robot.
Dans les 3 minutes suivant la mise sous tension, maintenir le bouton Recharge enfoncé.
Appuyer 5 fois sur le bouton Power.
Le robot entre alors dans le mode BIT séquentiel, qui exécute automatiquement une série de tests sur les différents composants.</t>
    </r>
  </si>
  <si>
    <t>https://vimeo.com/1204328154?share=copy&amp;fl=sv&amp;fe=ci</t>
  </si>
  <si>
    <t>https://vimeo.com/1204328155?share=copy&amp;fl=sv&amp;fe=ci</t>
  </si>
  <si>
    <t>https://vimeo.com/1204328156?share=copy&amp;fl=sv&amp;fe=ci</t>
  </si>
  <si>
    <t>https://vimeo.com/1204328262?share=copy&amp;fl=sv&amp;fe=ci</t>
  </si>
  <si>
    <r>
      <t xml:space="preserve">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t>
    </r>
    <r>
      <rPr>
        <b/>
        <sz val="11"/>
        <color rgb="FFFF0000"/>
        <rFont val="Calibri"/>
        <family val="2"/>
        <scheme val="minor"/>
      </rPr>
      <t>Le robot doit être mis à jour avec la dernière version du firmware disponible.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</si>
</sst>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u/>
      <sz val="11"/>
      <color theme="10"/>
      <name val="Calibri"/>
      <family val="2"/>
      <scheme val="minor"/>
    </font>
    <font>
      <sz val="10"/>
      <color theme="1"/>
      <name val="Arial Unicode MS"/>
    </font>
    <font>
      <sz val="8"/>
      <color theme="1"/>
      <name val="Segoe UI"/>
      <family val="2"/>
    </font>
    <font>
      <b/>
      <sz val="8"/>
      <color theme="1"/>
      <name val="Segoe UI"/>
      <family val="2"/>
    </font>
    <font>
      <b/>
      <sz val="11"/>
      <color rgb="FFFF0000"/>
      <name val="Calibri"/>
      <family val="2"/>
      <scheme val="minor"/>
    </font>
    <font>
      <b/>
      <u/>
      <sz val="11"/>
      <color rgb="FFFF0000"/>
      <name val="Calibri"/>
      <family val="2"/>
      <scheme val="minor"/>
    </font>
  </fonts>
  <fills count="2">
    <fill>
      <patternFill patternType="none"/>
    </fill>
    <fill>
      <patternFill patternType="gray125"/>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18">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xf numFmtId="0" fontId="4" fillId="0" borderId="0" xfId="1" applyAlignment="1">
      <alignment horizontal="left" vertical="center" wrapText="1"/>
    </xf>
    <xf numFmtId="0" fontId="4" fillId="0" borderId="0" xfId="1"/>
    <xf numFmtId="22" fontId="0" fillId="0" borderId="0" xfId="0" applyNumberFormat="1"/>
    <xf numFmtId="49" fontId="0" fillId="0" borderId="0" xfId="0" applyNumberFormat="1"/>
    <xf numFmtId="0" fontId="1" fillId="0" borderId="0" xfId="0" applyFont="1" applyAlignment="1">
      <alignment horizontal="center" vertical="center" wrapText="1"/>
    </xf>
    <xf numFmtId="49" fontId="0" fillId="0" borderId="1" xfId="0" applyNumberFormat="1" applyBorder="1" applyAlignment="1">
      <alignment vertical="center" wrapText="1"/>
    </xf>
    <xf numFmtId="0" fontId="0" fillId="0" borderId="0" xfId="0" applyAlignment="1">
      <alignment vertical="center" wrapText="1"/>
    </xf>
    <xf numFmtId="0" fontId="5" fillId="0" borderId="0" xfId="0" applyFont="1"/>
    <xf numFmtId="0" fontId="6" fillId="0" borderId="0" xfId="0" applyFont="1" applyAlignment="1">
      <alignment vertical="center" wrapText="1"/>
    </xf>
    <xf numFmtId="0" fontId="4" fillId="0" borderId="0" xfId="1" applyAlignment="1">
      <alignment horizontal="center" vertical="center" wrapText="1"/>
    </xf>
    <xf numFmtId="0" fontId="1" fillId="0" borderId="0" xfId="0" quotePrefix="1" applyFont="1" applyAlignment="1">
      <alignment horizontal="center" wrapText="1"/>
    </xf>
    <xf numFmtId="0" fontId="6" fillId="0" borderId="0" xfId="0" applyFont="1" applyAlignment="1">
      <alignment horizontal="center" vertical="center" wrapText="1"/>
    </xf>
  </cellXfs>
  <cellStyles count="2">
    <cellStyle name="Lien hypertexte" xfId="1" builtinId="8"/>
    <cellStyle name="Normal" xfId="0" builtinId="0"/>
  </cellStyles>
  <dxfs count="4">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4)" backgroundRefresh="0" connectionId="1" xr16:uid="{6E285143-0D50-4FB9-88A1-2137DB5E821D}" autoFormatId="16" applyNumberFormats="0" applyBorderFormats="0" applyFontFormats="0" applyPatternFormats="0" applyAlignmentFormats="0" applyWidthHeightFormats="0">
  <queryTableRefresh nextId="6">
    <queryTableFields count="5">
      <queryTableField id="5" name="Nom" tableColumnId="1"/>
      <queryTableField id="1" name="Modifié" tableColumnId="2"/>
      <queryTableField id="2" name="Modifié par" tableColumnId="3"/>
      <queryTableField id="4" name="Type d'élément" tableColumnId="4"/>
      <queryTableField id="3" name="Chemin d'accè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F6E42-8807-4FB8-AB0D-5A72D4B40973}" name="Tableau_query__4" displayName="Tableau_query__4" ref="A1:E23" tableType="queryTable" totalsRowShown="0">
  <autoFilter ref="A1:E23" xr:uid="{1C2F6E42-8807-4FB8-AB0D-5A72D4B40973}"/>
  <tableColumns count="5">
    <tableColumn id="1" xr3:uid="{51192F08-EA34-4D7E-892C-5527C412EA39}" uniqueName="FileLeafRef" name="Nom" queryTableFieldId="5"/>
    <tableColumn id="2" xr3:uid="{499A6632-CDE0-4BD2-B593-AA4B64AB3612}" uniqueName="Modified" name="Modifié" queryTableFieldId="1" dataDxfId="3"/>
    <tableColumn id="3" xr3:uid="{1F43C3E3-99E6-4041-B2D2-B5F927C3842B}" uniqueName="Editor" name="Modifié par" queryTableFieldId="2" dataDxfId="2"/>
    <tableColumn id="4" xr3:uid="{81ED7A16-F42C-4FF6-9110-190249F8EE25}" uniqueName="FSObjType" name="Type d'élément" queryTableFieldId="4" dataDxfId="1"/>
    <tableColumn id="5" xr3:uid="{B8B7D7CA-5B22-43FF-A8A4-EFF15C1B7C6E}" uniqueName="FileDirRef" name="Chemin d'accès" queryTableFieldId="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vimeo.com/1204306127?share=copy&amp;fl=sv&amp;fe=ci" TargetMode="External"/><Relationship Id="rId3" Type="http://schemas.openxmlformats.org/officeDocument/2006/relationships/hyperlink" Target="https://vimeo.com/1204306102?share=copy&amp;fl=sv&amp;fe=ci" TargetMode="External"/><Relationship Id="rId7" Type="http://schemas.openxmlformats.org/officeDocument/2006/relationships/hyperlink" Target="https://vimeo.com/1204306062?share=copy&amp;fl=sv&amp;fe=ci" TargetMode="External"/><Relationship Id="rId12" Type="http://schemas.openxmlformats.org/officeDocument/2006/relationships/hyperlink" Target="https://vimeo.com/1204328262?share=copy&amp;fl=sv&amp;fe=ci" TargetMode="External"/><Relationship Id="rId2" Type="http://schemas.openxmlformats.org/officeDocument/2006/relationships/hyperlink" Target="https://vimeo.com/1204306060?share=copy&amp;fl=sv&amp;fe=ci" TargetMode="External"/><Relationship Id="rId1" Type="http://schemas.openxmlformats.org/officeDocument/2006/relationships/hyperlink" Target="https://vimeo.com/1204306133?share=copy&amp;fl=sv&amp;fe=ci" TargetMode="External"/><Relationship Id="rId6" Type="http://schemas.openxmlformats.org/officeDocument/2006/relationships/hyperlink" Target="https://vimeo.com/1204306062?share=copy&amp;fl=sv&amp;fe=ci" TargetMode="External"/><Relationship Id="rId11" Type="http://schemas.openxmlformats.org/officeDocument/2006/relationships/hyperlink" Target="https://vimeo.com/1204328156?share=copy&amp;fl=sv&amp;fe=ci" TargetMode="External"/><Relationship Id="rId5" Type="http://schemas.openxmlformats.org/officeDocument/2006/relationships/hyperlink" Target="https://vimeo.com/1204306061?share=copy&amp;fl=sv&amp;fe=ci" TargetMode="External"/><Relationship Id="rId10" Type="http://schemas.openxmlformats.org/officeDocument/2006/relationships/hyperlink" Target="https://vimeo.com/1204328155?share=copy&amp;fl=sv&amp;fe=ci" TargetMode="External"/><Relationship Id="rId4" Type="http://schemas.openxmlformats.org/officeDocument/2006/relationships/hyperlink" Target="https://vimeo.com/1204306126?share=copy&amp;fl=sv&amp;fe=ci" TargetMode="External"/><Relationship Id="rId9" Type="http://schemas.openxmlformats.org/officeDocument/2006/relationships/hyperlink" Target="https://vimeo.com/1204328154?share=copy&amp;fl=sv&amp;fe=c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roupefnac.sharepoint.com/sites/SAVVY_FNACDARTY/Documents%20partages/DREAME_Referent/DREAME/Hub_referents_Dreame/BIT_Test_Single/Forward%20Vision%20sensor%20test.PNG" TargetMode="External"/><Relationship Id="rId13" Type="http://schemas.openxmlformats.org/officeDocument/2006/relationships/hyperlink" Target="https://groupefnac.sharepoint.com/sites/SAVVY_FNACDARTY/Documents%20partages/DREAME_Referent/DREAME/Hub_referents_Dreame/BIT_Test_Single/IMG_7345.PNG" TargetMode="External"/><Relationship Id="rId18" Type="http://schemas.openxmlformats.org/officeDocument/2006/relationships/hyperlink" Target="https://groupefnac.sharepoint.com/sites/SAVVY_FNACDARTY/Documents%20partages/DREAME_Referent/DREAME/Hub_referents_Dreame/BIT_Test_Single/Menu%20Bit%20test.PNG" TargetMode="External"/><Relationship Id="rId3" Type="http://schemas.openxmlformats.org/officeDocument/2006/relationships/hyperlink" Target="https://groupefnac.sharepoint.com/sites/SAVVY_FNACDARTY/Documents%20partages/DREAME_Referent/DREAME/Hub_referents_Dreame/BIT_Test_Single/Down%20sensor%20test.PNG" TargetMode="External"/><Relationship Id="rId21" Type="http://schemas.openxmlformats.org/officeDocument/2006/relationships/hyperlink" Target="https://groupefnac.sharepoint.com/sites/SAVVY_FNACDARTY/Documents%20partages/DREAME_Referent/DREAME/Hub_referents_Dreame/BIT_Test_Single/TOF%20Test%20checking%20passed.PNG" TargetMode="External"/><Relationship Id="rId7" Type="http://schemas.openxmlformats.org/officeDocument/2006/relationships/hyperlink" Target="https://groupefnac.sharepoint.com/sites/SAVVY_FNACDARTY/Documents%20partages/DREAME_Referent/DREAME/Hub_referents_Dreame/BIT_Test_Single/fan%20test.png" TargetMode="External"/><Relationship Id="rId12" Type="http://schemas.openxmlformats.org/officeDocument/2006/relationships/hyperlink" Target="https://groupefnac.sharepoint.com/sites/SAVVY_FNACDARTY/Documents%20partages/DREAME_Referent/DREAME/Hub_referents_Dreame/BIT_Test_Single/Gyroscope%20test%20checking.PNG" TargetMode="External"/><Relationship Id="rId17" Type="http://schemas.openxmlformats.org/officeDocument/2006/relationships/hyperlink" Target="https://groupefnac.sharepoint.com/sites/SAVVY_FNACDARTY/Documents%20partages/DREAME_Referent/DREAME/Hub_referents_Dreame/BIT_Test_Single/IMG_7352.PNG" TargetMode="External"/><Relationship Id="rId2" Type="http://schemas.openxmlformats.org/officeDocument/2006/relationships/hyperlink" Target="https://groupefnac.sharepoint.com/sites/SAVVY_FNACDARTY/Documents%20partages/DREAME_Referent/DREAME/Hub_referents_Dreame/BIT_Test_Single/Crash%20Test.PNG" TargetMode="External"/><Relationship Id="rId16" Type="http://schemas.openxmlformats.org/officeDocument/2006/relationships/hyperlink" Target="https://groupefnac.sharepoint.com/sites/SAVVY_FNACDARTY/Documents%20partages/DREAME_Referent/DREAME/Hub_referents_Dreame/BIT_Test_Single/IMG_7350.PNG" TargetMode="External"/><Relationship Id="rId20" Type="http://schemas.openxmlformats.org/officeDocument/2006/relationships/hyperlink" Target="https://groupefnac.sharepoint.com/sites/SAVVY_FNACDARTY/Documents%20partages/DREAME_Referent/DREAME/Hub_referents_Dreame/BIT_Test_Single/tank%20test.PNG" TargetMode="External"/><Relationship Id="rId1" Type="http://schemas.openxmlformats.org/officeDocument/2006/relationships/hyperlink" Target="https://groupefnac.sharepoint.com/sites/SAVVY_FNACDARTY/Documents%20partages/DREAME_Referent/DREAME/Hub_referents_Dreame/BIT_Test_Single/BIT_Test.pptx" TargetMode="External"/><Relationship Id="rId6" Type="http://schemas.openxmlformats.org/officeDocument/2006/relationships/hyperlink" Target="https://groupefnac.sharepoint.com/sites/SAVVY_FNACDARTY/Documents%20partages/DREAME_Referent/DREAME/Hub_referents_Dreame/BIT_Test_Single/Dust%20box%20test.MOV%20enlever%20le%20bac.PNG" TargetMode="External"/><Relationship Id="rId11" Type="http://schemas.openxmlformats.org/officeDocument/2006/relationships/hyperlink" Target="https://groupefnac.sharepoint.com/sites/SAVVY_FNACDARTY/Documents%20partages/DREAME_Referent/DREAME/Hub_referents_Dreame/BIT_Test_Single/Gyroscope%20test%20checking%20passed.PNG" TargetMode="External"/><Relationship Id="rId5" Type="http://schemas.openxmlformats.org/officeDocument/2006/relationships/hyperlink" Target="https://groupefnac.sharepoint.com/sites/SAVVY_FNACDARTY/Documents%20partages/DREAME_Referent/DREAME/Hub_referents_Dreame/BIT_Test_Single/drive%20wheel%20test%20checking.PNG" TargetMode="External"/><Relationship Id="rId15" Type="http://schemas.openxmlformats.org/officeDocument/2006/relationships/hyperlink" Target="https://groupefnac.sharepoint.com/sites/SAVVY_FNACDARTY/Documents%20partages/DREAME_Referent/DREAME/Hub_referents_Dreame/BIT_Test_Single/IMG_7349.PNG" TargetMode="External"/><Relationship Id="rId23" Type="http://schemas.openxmlformats.org/officeDocument/2006/relationships/table" Target="../tables/table1.xml"/><Relationship Id="rId10" Type="http://schemas.openxmlformats.org/officeDocument/2006/relationships/hyperlink" Target="https://groupefnac.sharepoint.com/sites/SAVVY_FNACDARTY/Documents%20partages/DREAME_Referent/DREAME/Hub_referents_Dreame/BIT_Test_Single/Geomagnatic%20test%20confirm.png" TargetMode="External"/><Relationship Id="rId19" Type="http://schemas.openxmlformats.org/officeDocument/2006/relationships/hyperlink" Target="https://groupefnac.sharepoint.com/sites/SAVVY_FNACDARTY/Documents%20partages/DREAME_Referent/DREAME/Hub_referents_Dreame/BIT_Test_Single/Menu%20BIT-Test.PNG" TargetMode="External"/><Relationship Id="rId4" Type="http://schemas.openxmlformats.org/officeDocument/2006/relationships/hyperlink" Target="https://groupefnac.sharepoint.com/sites/SAVVY_FNACDARTY/Documents%20partages/DREAME_Referent/DREAME/Hub_referents_Dreame/BIT_Test_Single/drive%20wheel%20test%20checking%20passed.PNG" TargetMode="External"/><Relationship Id="rId9" Type="http://schemas.openxmlformats.org/officeDocument/2006/relationships/hyperlink" Target="https://groupefnac.sharepoint.com/sites/SAVVY_FNACDARTY/Documents%20partages/DREAME_Referent/DREAME/Hub_referents_Dreame/BIT_Test_Single/Forward%20Vision%20sensor%20test_test%20passed.PNG" TargetMode="External"/><Relationship Id="rId14" Type="http://schemas.openxmlformats.org/officeDocument/2006/relationships/hyperlink" Target="https://groupefnac.sharepoint.com/sites/SAVVY_FNACDARTY/Documents%20partages/DREAME_Referent/DREAME/Hub_referents_Dreame/BIT_Test_Single/IMG_7346.PNG" TargetMode="External"/><Relationship Id="rId22" Type="http://schemas.openxmlformats.org/officeDocument/2006/relationships/hyperlink" Target="https://groupefnac.sharepoint.com/sites/SAVVY_FNACDARTY/Documents%20partages/DREAME_Referent/DREAME/Hub_referents_Dreame/BIT_Test_Single/TOF%20Test%20checking.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20"/>
  <sheetViews>
    <sheetView tabSelected="1" topLeftCell="A8" workbookViewId="0">
      <selection activeCell="B6" sqref="B6"/>
    </sheetView>
  </sheetViews>
  <sheetFormatPr baseColWidth="10" defaultColWidth="9.21875" defaultRowHeight="14.4"/>
  <cols>
    <col min="1" max="1" width="22.77734375" bestFit="1" customWidth="1"/>
    <col min="2" max="2" width="32.33203125" style="1" bestFit="1" customWidth="1"/>
    <col min="3" max="3" width="30.33203125" style="1" customWidth="1"/>
    <col min="4" max="4" width="30.33203125" style="12" customWidth="1"/>
    <col min="5" max="5" width="37.33203125" style="12" bestFit="1" customWidth="1"/>
    <col min="6" max="6" width="26.77734375" style="1" bestFit="1" customWidth="1"/>
    <col min="7" max="7" width="48.109375" style="1" bestFit="1" customWidth="1"/>
  </cols>
  <sheetData>
    <row r="2" spans="1:7" s="4" customFormat="1">
      <c r="A2" s="4" t="s">
        <v>16</v>
      </c>
      <c r="B2" s="5" t="str">
        <f>_xlfn.TRANSLATE(A2,"en","fr")</f>
        <v>BIT Test Single</v>
      </c>
      <c r="C2" s="5" t="s">
        <v>20</v>
      </c>
      <c r="D2" s="10" t="s">
        <v>17</v>
      </c>
      <c r="E2" s="10" t="s">
        <v>18</v>
      </c>
      <c r="F2" s="5" t="s">
        <v>21</v>
      </c>
      <c r="G2" s="5" t="s">
        <v>19</v>
      </c>
    </row>
    <row r="3" spans="1:7" s="4" customFormat="1" ht="388.8">
      <c r="A3" s="17" t="s">
        <v>93</v>
      </c>
      <c r="B3" s="14" t="s">
        <v>94</v>
      </c>
      <c r="C3" s="16" t="s">
        <v>101</v>
      </c>
      <c r="D3" s="15" t="str">
        <f>HYPERLINK("https://fnacdarty.mayday.fr/desk/parametric/default/contents/69d7596991a65edbd2007f35","Cliquer ici pour effectuer une demande d'accès au BIT Test via l'application")</f>
        <v>Cliquer ici pour effectuer une demande d'accès au BIT Test via l'application</v>
      </c>
      <c r="E3" s="10"/>
      <c r="F3" s="15" t="s">
        <v>100</v>
      </c>
      <c r="G3" s="5" t="s">
        <v>96</v>
      </c>
    </row>
    <row r="4" spans="1:7" s="2" customFormat="1" ht="86.4">
      <c r="A4" s="2" t="s">
        <v>0</v>
      </c>
      <c r="B4" s="3" t="str">
        <f>_xlfn.TRANSLATE(A4,"en","fr") &amp; " / Bumper"</f>
        <v>Test de collision / Bumper</v>
      </c>
      <c r="C4" s="3" t="s">
        <v>25</v>
      </c>
      <c r="D4" t="s">
        <v>26</v>
      </c>
      <c r="E4" s="3"/>
      <c r="F4" s="6" t="s">
        <v>67</v>
      </c>
      <c r="G4" s="3" t="s">
        <v>22</v>
      </c>
    </row>
    <row r="5" spans="1:7" s="2" customFormat="1" ht="57.6">
      <c r="A5" s="2" t="s">
        <v>1</v>
      </c>
      <c r="B5" s="3" t="s">
        <v>90</v>
      </c>
      <c r="C5" s="3" t="s">
        <v>23</v>
      </c>
      <c r="D5" t="s">
        <v>24</v>
      </c>
      <c r="E5" s="3"/>
      <c r="F5" s="3"/>
      <c r="G5" s="3" t="s">
        <v>95</v>
      </c>
    </row>
    <row r="6" spans="1:7" s="2" customFormat="1" ht="28.8">
      <c r="A6" s="2" t="s">
        <v>2</v>
      </c>
      <c r="B6" s="3" t="str">
        <f t="shared" ref="B6:B18" si="0">_xlfn.TRANSLATE(A6,"en","fr")</f>
        <v>Test du capteur de vision avant</v>
      </c>
      <c r="C6" s="3" t="s">
        <v>29</v>
      </c>
      <c r="D6" t="s">
        <v>77</v>
      </c>
      <c r="E6" t="s">
        <v>27</v>
      </c>
      <c r="F6" s="3"/>
      <c r="G6" s="3" t="s">
        <v>28</v>
      </c>
    </row>
    <row r="7" spans="1:7" s="2" customFormat="1" ht="86.4">
      <c r="A7" s="2" t="s">
        <v>3</v>
      </c>
      <c r="B7" s="3" t="str">
        <f>_xlfn.TRANSLATE(A7,"en","fr") &amp; "/ Power Spectral Density"</f>
        <v>Test PSD/ Power Spectral Density</v>
      </c>
      <c r="C7" s="3" t="s">
        <v>31</v>
      </c>
      <c r="D7" s="3"/>
      <c r="E7" s="3"/>
      <c r="F7" s="6" t="s">
        <v>66</v>
      </c>
      <c r="G7" s="3" t="s">
        <v>30</v>
      </c>
    </row>
    <row r="8" spans="1:7" s="2" customFormat="1" ht="129.6">
      <c r="A8" s="2" t="s">
        <v>4</v>
      </c>
      <c r="B8" s="3" t="str">
        <f>_xlfn.TRANSLATE(A8,"en","fr") &amp; " / Time Of Flight"</f>
        <v>Test TOF / Time Of Flight</v>
      </c>
      <c r="C8" s="3" t="s">
        <v>35</v>
      </c>
      <c r="D8" t="s">
        <v>32</v>
      </c>
      <c r="E8" t="s">
        <v>33</v>
      </c>
      <c r="F8" s="3"/>
      <c r="G8" s="3" t="s">
        <v>50</v>
      </c>
    </row>
    <row r="9" spans="1:7" s="2" customFormat="1" ht="72">
      <c r="A9" s="2" t="s">
        <v>5</v>
      </c>
      <c r="B9" s="3" t="str">
        <f>_xlfn.TRANSLATE(A9,"en","fr") &amp; " / Laser Distance Sensor"</f>
        <v>Test LDS / Laser Distance Sensor</v>
      </c>
      <c r="C9" s="3" t="s">
        <v>47</v>
      </c>
      <c r="D9" s="3"/>
      <c r="E9" s="3"/>
      <c r="F9" s="6" t="s">
        <v>66</v>
      </c>
      <c r="G9" s="3" t="s">
        <v>34</v>
      </c>
    </row>
    <row r="10" spans="1:7" s="2" customFormat="1" ht="28.8">
      <c r="A10" s="2" t="s">
        <v>36</v>
      </c>
      <c r="B10" s="3" t="str">
        <f t="shared" si="0"/>
        <v>Test des roues motrices</v>
      </c>
      <c r="C10" s="2" t="s">
        <v>37</v>
      </c>
      <c r="D10" t="s">
        <v>40</v>
      </c>
      <c r="E10" t="s">
        <v>39</v>
      </c>
      <c r="F10" s="6" t="s">
        <v>64</v>
      </c>
      <c r="G10" s="3" t="s">
        <v>48</v>
      </c>
    </row>
    <row r="11" spans="1:7" s="2" customFormat="1" ht="28.8">
      <c r="A11" s="2" t="s">
        <v>6</v>
      </c>
      <c r="B11" s="3" t="str">
        <f t="shared" si="0"/>
        <v>Test du gyroscope</v>
      </c>
      <c r="C11" s="3" t="s">
        <v>38</v>
      </c>
      <c r="D11" s="13" t="s">
        <v>79</v>
      </c>
      <c r="E11" t="s">
        <v>41</v>
      </c>
      <c r="F11" s="6" t="s">
        <v>65</v>
      </c>
      <c r="G11" s="3" t="s">
        <v>42</v>
      </c>
    </row>
    <row r="12" spans="1:7" s="2" customFormat="1" ht="115.2">
      <c r="A12" s="2" t="s">
        <v>7</v>
      </c>
      <c r="B12" s="3" t="str">
        <f t="shared" si="0"/>
        <v>Test géomagnatique</v>
      </c>
      <c r="C12" s="3" t="s">
        <v>49</v>
      </c>
      <c r="D12" s="11"/>
      <c r="E12" s="3"/>
      <c r="F12" s="3"/>
      <c r="G12" s="3" t="s">
        <v>88</v>
      </c>
    </row>
    <row r="13" spans="1:7" s="2" customFormat="1" ht="57.6">
      <c r="A13" s="2" t="s">
        <v>8</v>
      </c>
      <c r="B13" s="3" t="str">
        <f t="shared" si="0"/>
        <v>Test de la boîte à poussière</v>
      </c>
      <c r="C13" s="3" t="s">
        <v>45</v>
      </c>
      <c r="D13" t="s">
        <v>44</v>
      </c>
      <c r="E13" s="3"/>
      <c r="F13" s="6" t="s">
        <v>61</v>
      </c>
      <c r="G13" s="3" t="s">
        <v>43</v>
      </c>
    </row>
    <row r="14" spans="1:7" s="2" customFormat="1" ht="115.2">
      <c r="A14" s="2" t="s">
        <v>9</v>
      </c>
      <c r="B14" s="3" t="s">
        <v>46</v>
      </c>
      <c r="C14" s="3"/>
      <c r="D14" t="s">
        <v>59</v>
      </c>
      <c r="E14" t="s">
        <v>91</v>
      </c>
      <c r="F14" s="3"/>
      <c r="G14" s="3" t="s">
        <v>89</v>
      </c>
    </row>
    <row r="15" spans="1:7" s="2" customFormat="1" ht="28.8">
      <c r="A15" s="2" t="s">
        <v>10</v>
      </c>
      <c r="B15" s="3" t="str">
        <f t="shared" si="0"/>
        <v>Test du ventilateur</v>
      </c>
      <c r="C15" s="3"/>
      <c r="D15" t="s">
        <v>60</v>
      </c>
      <c r="E15" s="3"/>
      <c r="F15" s="6" t="s">
        <v>62</v>
      </c>
      <c r="G15" s="3"/>
    </row>
    <row r="16" spans="1:7" s="2" customFormat="1" ht="100.8">
      <c r="A16" s="2" t="s">
        <v>11</v>
      </c>
      <c r="B16" s="3" t="str">
        <f t="shared" si="0"/>
        <v>Test de brossage latéral</v>
      </c>
      <c r="C16" s="3"/>
      <c r="D16" t="s">
        <v>92</v>
      </c>
      <c r="E16" s="3"/>
      <c r="F16" s="3"/>
      <c r="G16" s="3" t="s">
        <v>87</v>
      </c>
    </row>
    <row r="17" spans="1:7" s="2" customFormat="1" ht="100.8">
      <c r="A17" s="2" t="s">
        <v>12</v>
      </c>
      <c r="B17" s="3" t="s">
        <v>52</v>
      </c>
      <c r="C17" s="3" t="s">
        <v>58</v>
      </c>
      <c r="D17" s="3"/>
      <c r="E17" s="3"/>
      <c r="F17" s="6" t="s">
        <v>63</v>
      </c>
      <c r="G17" s="3" t="s">
        <v>51</v>
      </c>
    </row>
    <row r="18" spans="1:7" s="2" customFormat="1" ht="28.8">
      <c r="A18" s="2" t="s">
        <v>13</v>
      </c>
      <c r="B18" s="3" t="str">
        <f t="shared" si="0"/>
        <v>Détection de levage par nettoyage</v>
      </c>
      <c r="C18" s="3"/>
      <c r="D18" s="3"/>
      <c r="E18" s="3"/>
      <c r="F18" s="6" t="s">
        <v>97</v>
      </c>
      <c r="G18" s="3"/>
    </row>
    <row r="19" spans="1:7" s="2" customFormat="1" ht="43.2">
      <c r="A19" s="2" t="s">
        <v>14</v>
      </c>
      <c r="B19" s="3" t="s">
        <v>53</v>
      </c>
      <c r="C19" s="3" t="s">
        <v>54</v>
      </c>
      <c r="D19" s="3"/>
      <c r="E19" s="3"/>
      <c r="F19" s="6" t="s">
        <v>99</v>
      </c>
      <c r="G19" s="3"/>
    </row>
    <row r="20" spans="1:7" s="2" customFormat="1" ht="57.6">
      <c r="A20" s="2" t="s">
        <v>15</v>
      </c>
      <c r="B20" s="3" t="s">
        <v>57</v>
      </c>
      <c r="C20" s="3" t="s">
        <v>56</v>
      </c>
      <c r="D20" s="3"/>
      <c r="E20" s="3"/>
      <c r="F20" s="6" t="s">
        <v>98</v>
      </c>
      <c r="G20" s="3" t="s">
        <v>55</v>
      </c>
    </row>
  </sheetData>
  <phoneticPr fontId="2" type="noConversion"/>
  <hyperlinks>
    <hyperlink ref="F13" r:id="rId1" xr:uid="{8311304E-41FB-4B2E-9AED-F49284910EBC}"/>
    <hyperlink ref="F15" r:id="rId2" xr:uid="{55486497-4BF6-4670-804B-2D86E364272C}"/>
    <hyperlink ref="F17" r:id="rId3" xr:uid="{ACE053D1-986B-4C7F-9641-AABBB418751D}"/>
    <hyperlink ref="F10" r:id="rId4" xr:uid="{BFF3F5E7-CD3D-4B80-9333-C34DC2A40B3D}"/>
    <hyperlink ref="F11" r:id="rId5" xr:uid="{D34255A3-E814-400B-83C5-A061BA7CC94F}"/>
    <hyperlink ref="F9" r:id="rId6" xr:uid="{6AF01FE5-6CCD-4E38-9DB1-6F84BFAD0FCA}"/>
    <hyperlink ref="F7" r:id="rId7" xr:uid="{C905FA5E-63A7-4F15-B078-AA4EA3FE5A2B}"/>
    <hyperlink ref="F4" r:id="rId8" xr:uid="{B3A9FC41-7B54-4E77-9541-78B8B410AFAB}"/>
    <hyperlink ref="F18" r:id="rId9" xr:uid="{2A0D0948-03DF-4066-8EAF-7160F12558D1}"/>
    <hyperlink ref="F20" r:id="rId10" xr:uid="{C970B4A4-349B-4FD3-832E-A4BF7F1AA092}"/>
    <hyperlink ref="F19" r:id="rId11" xr:uid="{6E28CCC8-3EA7-40DD-8819-91257F796320}"/>
    <hyperlink ref="F3" r:id="rId12" xr:uid="{1E3873C9-1BB3-4E4B-B01C-8DC049280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455B-BEFC-42EF-97B5-31D9853CFD3B}">
  <dimension ref="A1:E23"/>
  <sheetViews>
    <sheetView workbookViewId="0">
      <selection activeCell="E3" sqref="E3"/>
    </sheetView>
  </sheetViews>
  <sheetFormatPr baseColWidth="10" defaultColWidth="52.88671875" defaultRowHeight="14.4"/>
  <sheetData>
    <row r="1" spans="1:5">
      <c r="A1" t="s">
        <v>68</v>
      </c>
      <c r="B1" t="s">
        <v>69</v>
      </c>
      <c r="C1" t="s">
        <v>70</v>
      </c>
      <c r="D1" t="s">
        <v>71</v>
      </c>
      <c r="E1" t="s">
        <v>72</v>
      </c>
    </row>
    <row r="2" spans="1:5">
      <c r="A2" s="7" t="s">
        <v>73</v>
      </c>
      <c r="B2" s="8">
        <v>46197.897337962961</v>
      </c>
      <c r="C2" s="9" t="s">
        <v>74</v>
      </c>
      <c r="D2" s="9" t="s">
        <v>75</v>
      </c>
      <c r="E2" s="9" t="s">
        <v>76</v>
      </c>
    </row>
    <row r="3" spans="1:5">
      <c r="A3" s="7" t="s">
        <v>26</v>
      </c>
      <c r="B3" s="8">
        <v>46197.897037037037</v>
      </c>
      <c r="C3" s="9" t="s">
        <v>74</v>
      </c>
      <c r="D3" s="9" t="s">
        <v>75</v>
      </c>
      <c r="E3" s="9" t="s">
        <v>76</v>
      </c>
    </row>
    <row r="4" spans="1:5">
      <c r="A4" s="7" t="s">
        <v>24</v>
      </c>
      <c r="B4" s="8">
        <v>46197.897037037037</v>
      </c>
      <c r="C4" s="9" t="s">
        <v>74</v>
      </c>
      <c r="D4" s="9" t="s">
        <v>75</v>
      </c>
      <c r="E4" s="9" t="s">
        <v>76</v>
      </c>
    </row>
    <row r="5" spans="1:5">
      <c r="A5" s="7" t="s">
        <v>39</v>
      </c>
      <c r="B5" s="8">
        <v>46197.897048611114</v>
      </c>
      <c r="C5" s="9" t="s">
        <v>74</v>
      </c>
      <c r="D5" s="9" t="s">
        <v>75</v>
      </c>
      <c r="E5" s="9" t="s">
        <v>76</v>
      </c>
    </row>
    <row r="6" spans="1:5">
      <c r="A6" s="7" t="s">
        <v>40</v>
      </c>
      <c r="B6" s="8">
        <v>46197.897048611114</v>
      </c>
      <c r="C6" s="9" t="s">
        <v>74</v>
      </c>
      <c r="D6" s="9" t="s">
        <v>75</v>
      </c>
      <c r="E6" s="9" t="s">
        <v>76</v>
      </c>
    </row>
    <row r="7" spans="1:5">
      <c r="A7" s="7" t="s">
        <v>44</v>
      </c>
      <c r="B7" s="8">
        <v>46197.897048611114</v>
      </c>
      <c r="C7" s="9" t="s">
        <v>74</v>
      </c>
      <c r="D7" s="9" t="s">
        <v>75</v>
      </c>
      <c r="E7" s="9" t="s">
        <v>76</v>
      </c>
    </row>
    <row r="8" spans="1:5">
      <c r="A8" s="7" t="s">
        <v>60</v>
      </c>
      <c r="B8" s="8">
        <v>46197.897060185183</v>
      </c>
      <c r="C8" s="9" t="s">
        <v>74</v>
      </c>
      <c r="D8" s="9" t="s">
        <v>75</v>
      </c>
      <c r="E8" s="9" t="s">
        <v>76</v>
      </c>
    </row>
    <row r="9" spans="1:5">
      <c r="A9" s="7" t="s">
        <v>77</v>
      </c>
      <c r="B9" s="8">
        <v>46197.897048611114</v>
      </c>
      <c r="C9" s="9" t="s">
        <v>74</v>
      </c>
      <c r="D9" s="9" t="s">
        <v>75</v>
      </c>
      <c r="E9" s="9" t="s">
        <v>76</v>
      </c>
    </row>
    <row r="10" spans="1:5">
      <c r="A10" s="7" t="s">
        <v>27</v>
      </c>
      <c r="B10" s="8">
        <v>46197.897048611114</v>
      </c>
      <c r="C10" s="9" t="s">
        <v>74</v>
      </c>
      <c r="D10" s="9" t="s">
        <v>75</v>
      </c>
      <c r="E10" s="9" t="s">
        <v>76</v>
      </c>
    </row>
    <row r="11" spans="1:5">
      <c r="A11" s="7" t="s">
        <v>78</v>
      </c>
      <c r="B11" s="8">
        <v>46197.897060185183</v>
      </c>
      <c r="C11" s="9" t="s">
        <v>74</v>
      </c>
      <c r="D11" s="9" t="s">
        <v>75</v>
      </c>
      <c r="E11" s="9" t="s">
        <v>76</v>
      </c>
    </row>
    <row r="12" spans="1:5">
      <c r="A12" s="7" t="s">
        <v>41</v>
      </c>
      <c r="B12" s="8">
        <v>46197.897060185183</v>
      </c>
      <c r="C12" s="9" t="s">
        <v>74</v>
      </c>
      <c r="D12" s="9" t="s">
        <v>75</v>
      </c>
      <c r="E12" s="9" t="s">
        <v>76</v>
      </c>
    </row>
    <row r="13" spans="1:5">
      <c r="A13" s="7" t="s">
        <v>79</v>
      </c>
      <c r="B13" s="8">
        <v>46197.897060185183</v>
      </c>
      <c r="C13" s="9" t="s">
        <v>74</v>
      </c>
      <c r="D13" s="9" t="s">
        <v>75</v>
      </c>
      <c r="E13" s="9" t="s">
        <v>76</v>
      </c>
    </row>
    <row r="14" spans="1:5">
      <c r="A14" s="7" t="s">
        <v>80</v>
      </c>
      <c r="B14" s="8">
        <v>46197.897060185183</v>
      </c>
      <c r="C14" s="9" t="s">
        <v>74</v>
      </c>
      <c r="D14" s="9" t="s">
        <v>75</v>
      </c>
      <c r="E14" s="9" t="s">
        <v>76</v>
      </c>
    </row>
    <row r="15" spans="1:5">
      <c r="A15" s="7" t="s">
        <v>81</v>
      </c>
      <c r="B15" s="8">
        <v>46197.897060185183</v>
      </c>
      <c r="C15" s="9" t="s">
        <v>74</v>
      </c>
      <c r="D15" s="9" t="s">
        <v>75</v>
      </c>
      <c r="E15" s="9" t="s">
        <v>76</v>
      </c>
    </row>
    <row r="16" spans="1:5">
      <c r="A16" s="7" t="s">
        <v>82</v>
      </c>
      <c r="B16" s="8">
        <v>46197.897060185183</v>
      </c>
      <c r="C16" s="9" t="s">
        <v>74</v>
      </c>
      <c r="D16" s="9" t="s">
        <v>75</v>
      </c>
      <c r="E16" s="9" t="s">
        <v>76</v>
      </c>
    </row>
    <row r="17" spans="1:5">
      <c r="A17" s="7" t="s">
        <v>83</v>
      </c>
      <c r="B17" s="8">
        <v>46197.89707175926</v>
      </c>
      <c r="C17" s="9" t="s">
        <v>74</v>
      </c>
      <c r="D17" s="9" t="s">
        <v>75</v>
      </c>
      <c r="E17" s="9" t="s">
        <v>76</v>
      </c>
    </row>
    <row r="18" spans="1:5">
      <c r="A18" s="7" t="s">
        <v>84</v>
      </c>
      <c r="B18" s="8">
        <v>46197.89707175926</v>
      </c>
      <c r="C18" s="9" t="s">
        <v>74</v>
      </c>
      <c r="D18" s="9" t="s">
        <v>75</v>
      </c>
      <c r="E18" s="9" t="s">
        <v>76</v>
      </c>
    </row>
    <row r="19" spans="1:5">
      <c r="A19" s="7" t="s">
        <v>85</v>
      </c>
      <c r="B19" s="8">
        <v>46197.89707175926</v>
      </c>
      <c r="C19" s="9" t="s">
        <v>74</v>
      </c>
      <c r="D19" s="9" t="s">
        <v>75</v>
      </c>
      <c r="E19" s="9" t="s">
        <v>76</v>
      </c>
    </row>
    <row r="20" spans="1:5">
      <c r="A20" s="7" t="s">
        <v>86</v>
      </c>
      <c r="B20" s="8">
        <v>46197.89707175926</v>
      </c>
      <c r="C20" s="9" t="s">
        <v>74</v>
      </c>
      <c r="D20" s="9" t="s">
        <v>75</v>
      </c>
      <c r="E20" s="9" t="s">
        <v>76</v>
      </c>
    </row>
    <row r="21" spans="1:5">
      <c r="A21" s="7" t="s">
        <v>59</v>
      </c>
      <c r="B21" s="8">
        <v>46197.897037037037</v>
      </c>
      <c r="C21" s="9" t="s">
        <v>74</v>
      </c>
      <c r="D21" s="9" t="s">
        <v>75</v>
      </c>
      <c r="E21" s="9" t="s">
        <v>76</v>
      </c>
    </row>
    <row r="22" spans="1:5">
      <c r="A22" s="7" t="s">
        <v>33</v>
      </c>
      <c r="B22" s="8">
        <v>46197.897037037037</v>
      </c>
      <c r="C22" s="9" t="s">
        <v>74</v>
      </c>
      <c r="D22" s="9" t="s">
        <v>75</v>
      </c>
      <c r="E22" s="9" t="s">
        <v>76</v>
      </c>
    </row>
    <row r="23" spans="1:5">
      <c r="A23" s="7" t="s">
        <v>32</v>
      </c>
      <c r="B23" s="8">
        <v>46197.897037037037</v>
      </c>
      <c r="C23" s="9" t="s">
        <v>74</v>
      </c>
      <c r="D23" s="9" t="s">
        <v>75</v>
      </c>
      <c r="E23" s="9" t="s">
        <v>76</v>
      </c>
    </row>
  </sheetData>
  <hyperlinks>
    <hyperlink ref="A2" r:id="rId1" xr:uid="{42440853-24CC-44FD-8BE2-819E7C00100C}"/>
    <hyperlink ref="A3" r:id="rId2" xr:uid="{4A124001-B106-4905-8785-E6F18DF65F4E}"/>
    <hyperlink ref="A4" r:id="rId3" xr:uid="{C4107B62-487C-4760-BB0E-0333B999DDA1}"/>
    <hyperlink ref="A5" r:id="rId4" xr:uid="{07B9E09A-BBDF-4642-9D44-C4625DAA02C5}"/>
    <hyperlink ref="A6" r:id="rId5" xr:uid="{69D1447D-E1D2-4096-92F8-005086955F94}"/>
    <hyperlink ref="A7" r:id="rId6" xr:uid="{C0A54B29-40C8-47D4-9383-6C2AC8CA1536}"/>
    <hyperlink ref="A8" r:id="rId7" xr:uid="{F396C26E-91B4-40BF-B5A2-2DFB7490BFDF}"/>
    <hyperlink ref="A9" r:id="rId8" xr:uid="{E7E44BE2-C4C3-4FE8-9B90-617A42E373F6}"/>
    <hyperlink ref="A10" r:id="rId9" xr:uid="{2963E887-6BC4-44D0-BAFF-6B037543138E}"/>
    <hyperlink ref="A11" r:id="rId10" xr:uid="{48104FDF-0756-4759-900B-F2FFE3EE5FD6}"/>
    <hyperlink ref="A12" r:id="rId11" xr:uid="{BA32ED21-4A32-4CCF-833A-BF0788EEE3D3}"/>
    <hyperlink ref="A13" r:id="rId12" xr:uid="{D4F6AD53-5E3E-4448-89CF-C3C48DB8D926}"/>
    <hyperlink ref="A14" r:id="rId13" xr:uid="{68935788-2EDA-4591-AD75-A3F7CA8A67C7}"/>
    <hyperlink ref="A15" r:id="rId14" xr:uid="{7FCCB3E6-E9E1-4F7C-880F-87CA6529FF70}"/>
    <hyperlink ref="A16" r:id="rId15" xr:uid="{276FEB22-7439-4963-B393-59FF77D03C7E}"/>
    <hyperlink ref="A17" r:id="rId16" xr:uid="{4A9D4F4E-04C0-408D-B2EC-B2734FAA6B85}"/>
    <hyperlink ref="A18" r:id="rId17" xr:uid="{E8645537-2DB1-4B02-8FD0-E286AA79849E}"/>
    <hyperlink ref="A19" r:id="rId18" xr:uid="{1B2DECC8-CD48-42A6-8ABD-00963BD8E327}"/>
    <hyperlink ref="A20" r:id="rId19" xr:uid="{61AAF7A8-51A9-4EC3-89F7-F467F303B7FF}"/>
    <hyperlink ref="A21" r:id="rId20" xr:uid="{6C53F7A0-F920-495E-B394-0EA19914148C}"/>
    <hyperlink ref="A22" r:id="rId21" xr:uid="{1D2A369A-14ED-4F53-8667-3700C394FA6E}"/>
    <hyperlink ref="A23" r:id="rId22" xr:uid="{ABCA4607-BA22-4D16-A810-F84C4E4FD3B3}"/>
  </hyperlinks>
  <pageMargins left="0.7" right="0.7" top="0.75" bottom="0.75" header="0.3" footer="0.3"/>
  <tableParts count="1">
    <tablePart r:id="rId2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Bit_Test_Single</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2026-06-25T07:08:21Z</dcterms:modified>
</cp:coreProperties>
</file>